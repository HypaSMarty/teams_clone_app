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shumba\Documents\Work Documents\Excel files\"/>
    </mc:Choice>
  </mc:AlternateContent>
  <xr:revisionPtr revIDLastSave="0" documentId="8_{00649C7D-C4A1-49DE-9A7E-41FB021B298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Sheet1!$A$1:$P$46</definedName>
  </definedNames>
  <calcPr calcId="191029"/>
  <pivotCaches>
    <pivotCache cacheId="3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3" i="1" l="1"/>
  <c r="P4" i="1"/>
  <c r="P17" i="1"/>
  <c r="P18" i="1"/>
  <c r="P19" i="1"/>
  <c r="P22" i="1"/>
  <c r="P23" i="1"/>
  <c r="P24" i="1"/>
  <c r="P25" i="1"/>
  <c r="P26" i="1"/>
  <c r="P27" i="1"/>
  <c r="P28" i="1"/>
  <c r="P29" i="1"/>
  <c r="P30" i="1"/>
  <c r="P31" i="1"/>
  <c r="P33" i="1"/>
  <c r="P34" i="1"/>
  <c r="P35" i="1"/>
  <c r="P36" i="1"/>
  <c r="P37" i="1"/>
  <c r="P38" i="1"/>
  <c r="P41" i="1"/>
  <c r="P42" i="1"/>
  <c r="P43" i="1"/>
  <c r="P44" i="1"/>
  <c r="P45" i="1"/>
  <c r="M2" i="1"/>
  <c r="M27" i="1"/>
  <c r="K40" i="1" l="1"/>
  <c r="P40" i="1" s="1"/>
  <c r="K39" i="1"/>
  <c r="P39" i="1" s="1"/>
  <c r="K32" i="1"/>
  <c r="P32" i="1" s="1"/>
  <c r="K21" i="1"/>
  <c r="P21" i="1" s="1"/>
  <c r="K20" i="1"/>
  <c r="P20" i="1" s="1"/>
  <c r="K16" i="1"/>
  <c r="P16" i="1" s="1"/>
  <c r="K15" i="1"/>
  <c r="P15" i="1" s="1"/>
  <c r="K14" i="1"/>
  <c r="P14" i="1" s="1"/>
  <c r="K13" i="1"/>
  <c r="P13" i="1" s="1"/>
  <c r="K12" i="1"/>
  <c r="P12" i="1" s="1"/>
  <c r="K11" i="1"/>
  <c r="P11" i="1" s="1"/>
  <c r="K10" i="1"/>
  <c r="P10" i="1" s="1"/>
  <c r="K9" i="1"/>
  <c r="P9" i="1" s="1"/>
  <c r="K8" i="1"/>
  <c r="P8" i="1" s="1"/>
  <c r="K7" i="1"/>
  <c r="P7" i="1" s="1"/>
  <c r="K6" i="1"/>
  <c r="P6" i="1" s="1"/>
  <c r="K5" i="1"/>
  <c r="P5" i="1" s="1"/>
  <c r="K2" i="1"/>
  <c r="P2" i="1" s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P46" i="1" l="1"/>
  <c r="M46" i="1"/>
</calcChain>
</file>

<file path=xl/sharedStrings.xml><?xml version="1.0" encoding="utf-8"?>
<sst xmlns="http://schemas.openxmlformats.org/spreadsheetml/2006/main" count="196" uniqueCount="32">
  <si>
    <t>COUNT</t>
  </si>
  <si>
    <t>Amount</t>
  </si>
  <si>
    <t>C_Credit</t>
  </si>
  <si>
    <t>Diff</t>
  </si>
  <si>
    <t>Date</t>
  </si>
  <si>
    <t>Week_Day</t>
  </si>
  <si>
    <t>Expected_Date_Banking</t>
  </si>
  <si>
    <t>Date_Banked</t>
  </si>
  <si>
    <t>Tue</t>
  </si>
  <si>
    <t>Fri</t>
  </si>
  <si>
    <t>Mon</t>
  </si>
  <si>
    <t>Thu</t>
  </si>
  <si>
    <t>Wed</t>
  </si>
  <si>
    <t>Sun</t>
  </si>
  <si>
    <t>Extensions</t>
  </si>
  <si>
    <t>Necor</t>
  </si>
  <si>
    <t>Collection_Type</t>
  </si>
  <si>
    <t>ETC</t>
  </si>
  <si>
    <t>Interest @10%</t>
  </si>
  <si>
    <t>Explain these delayed bankings</t>
  </si>
  <si>
    <t>weekend</t>
  </si>
  <si>
    <t>demand letter issued - Part of K1239.27</t>
  </si>
  <si>
    <t>Public Holiday</t>
  </si>
  <si>
    <t>Demand letter issued - Part of K1,111.93</t>
  </si>
  <si>
    <t>Status</t>
  </si>
  <si>
    <t>Paid</t>
  </si>
  <si>
    <t xml:space="preserve">Demand letter issued -Part of K646 </t>
  </si>
  <si>
    <t>Row Labels</t>
  </si>
  <si>
    <t>(blank)</t>
  </si>
  <si>
    <t>Grand Total</t>
  </si>
  <si>
    <t>Sum of Interest @10%2</t>
  </si>
  <si>
    <t>Pending demand letter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</si>
</sst>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6" formatCode="dddd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7">
    <xf numFmtId="0" fontId="0" fillId="0" borderId="0" xfId="0"/>
    <xf numFmtId="0" fontId="2" fillId="0" borderId="1" xfId="0" applyFont="1" applyBorder="1"/>
    <xf numFmtId="0" fontId="3" fillId="0" borderId="1" xfId="0" applyFont="1" applyBorder="1"/>
    <xf numFmtId="164" fontId="0" fillId="0" borderId="1" xfId="1" applyNumberFormat="1" applyFont="1" applyBorder="1"/>
    <xf numFmtId="0" fontId="0" fillId="0" borderId="1" xfId="0" applyBorder="1"/>
    <xf numFmtId="14" fontId="0" fillId="0" borderId="1" xfId="0" applyNumberFormat="1" applyBorder="1" applyAlignment="1">
      <alignment vertical="center"/>
    </xf>
    <xf numFmtId="43" fontId="0" fillId="0" borderId="1" xfId="0" applyNumberFormat="1" applyBorder="1"/>
    <xf numFmtId="164" fontId="0" fillId="0" borderId="1" xfId="1" applyNumberFormat="1" applyFont="1" applyFill="1" applyBorder="1"/>
    <xf numFmtId="14" fontId="0" fillId="0" borderId="1" xfId="0" applyNumberFormat="1" applyBorder="1"/>
    <xf numFmtId="43" fontId="2" fillId="0" borderId="1" xfId="0" applyNumberFormat="1" applyFont="1" applyBorder="1"/>
    <xf numFmtId="0" fontId="2" fillId="2" borderId="1" xfId="0" applyFont="1" applyFill="1" applyBorder="1"/>
    <xf numFmtId="166" fontId="0" fillId="0" borderId="1" xfId="0" applyNumberFormat="1" applyBorder="1" applyAlignment="1">
      <alignment vertical="center"/>
    </xf>
    <xf numFmtId="0" fontId="4" fillId="0" borderId="1" xfId="0" applyFont="1" applyBorder="1"/>
    <xf numFmtId="43" fontId="0" fillId="0" borderId="0" xfId="0" applyNumberFormat="1"/>
    <xf numFmtId="43" fontId="4" fillId="0" borderId="1" xfId="0" applyNumberFormat="1" applyFont="1" applyBorder="1"/>
    <xf numFmtId="0" fontId="0" fillId="0" borderId="0" xfId="0" pivotButton="1"/>
    <xf numFmtId="0" fontId="0" fillId="0" borderId="0" xfId="0" applyAlignment="1">
      <alignment horizontal="lef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inashe Shumba" refreshedDate="45923.644521875001" createdVersion="8" refreshedVersion="8" minRefreshableVersion="3" recordCount="44" xr:uid="{9CB5884A-1ACE-4B71-BC37-3BC814C6CD15}">
  <cacheSource type="worksheet">
    <worksheetSource ref="A1:P45" sheet="Sheet1"/>
  </cacheSource>
  <cacheFields count="16">
    <cacheField name="COUNT" numFmtId="164">
      <sharedItems containsSemiMixedTypes="0" containsString="0" containsNumber="1" containsInteger="1" minValue="1" maxValue="9900"/>
    </cacheField>
    <cacheField name="Amount" numFmtId="164">
      <sharedItems containsSemiMixedTypes="0" containsString="0" containsNumber="1" containsInteger="1" minValue="5" maxValue="301045"/>
    </cacheField>
    <cacheField name="C_Credit" numFmtId="164">
      <sharedItems containsSemiMixedTypes="0" containsString="0" containsNumber="1" containsInteger="1" minValue="5" maxValue="301045"/>
    </cacheField>
    <cacheField name="Diff" numFmtId="0">
      <sharedItems containsSemiMixedTypes="0" containsString="0" containsNumber="1" containsInteger="1" minValue="-50" maxValue="0"/>
    </cacheField>
    <cacheField name="Date" numFmtId="14">
      <sharedItems containsSemiMixedTypes="0" containsNonDate="0" containsDate="1" containsString="0" minDate="2025-04-01T00:00:00" maxDate="2025-08-30T00:00:00"/>
    </cacheField>
    <cacheField name="Week_Day" numFmtId="0">
      <sharedItems/>
    </cacheField>
    <cacheField name="Expected_Date_Banking" numFmtId="14">
      <sharedItems containsSemiMixedTypes="0" containsNonDate="0" containsDate="1" containsString="0" minDate="2025-04-02T00:00:00" maxDate="2025-08-31T00:00:00"/>
    </cacheField>
    <cacheField name="Date_Banked" numFmtId="14">
      <sharedItems containsSemiMixedTypes="0" containsNonDate="0" containsDate="1" containsString="0" minDate="2025-04-03T00:00:00" maxDate="2025-09-02T00:00:00"/>
    </cacheField>
    <cacheField name="Date_Banked2" numFmtId="166">
      <sharedItems containsSemiMixedTypes="0" containsNonDate="0" containsDate="1" containsString="0" minDate="2025-04-03T00:00:00" maxDate="2025-09-02T00:00:00"/>
    </cacheField>
    <cacheField name="Diff2" numFmtId="0">
      <sharedItems containsSemiMixedTypes="0" containsString="0" containsNumber="1" containsInteger="1" minValue="1" maxValue="13"/>
    </cacheField>
    <cacheField name="Diff3" numFmtId="0">
      <sharedItems containsSemiMixedTypes="0" containsString="0" containsNumber="1" containsInteger="1" minValue="0" maxValue="13"/>
    </cacheField>
    <cacheField name="Collection_Type" numFmtId="0">
      <sharedItems/>
    </cacheField>
    <cacheField name="Interest @10%" numFmtId="43">
      <sharedItems containsSemiMixedTypes="0" containsString="0" containsNumber="1" minValue="2.7397260273972603E-3" maxValue="247.43424657534248"/>
    </cacheField>
    <cacheField name="Status" numFmtId="0">
      <sharedItems containsBlank="1" count="4">
        <s v="Paid"/>
        <s v="weekend"/>
        <s v="Public Holiday"/>
        <m/>
      </sharedItems>
    </cacheField>
    <cacheField name="Explain these delayed bankings" numFmtId="0">
      <sharedItems containsBlank="1"/>
    </cacheField>
    <cacheField name="Interest @10%2" numFmtId="43">
      <sharedItems containsSemiMixedTypes="0" containsString="0" containsNumber="1" minValue="0" maxValue="82.47808219178082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4">
  <r>
    <n v="7026"/>
    <n v="223904"/>
    <n v="223904"/>
    <n v="0"/>
    <d v="2025-04-01T00:00:00"/>
    <s v="Tue"/>
    <d v="2025-04-02T00:00:00"/>
    <d v="2025-04-03T00:00:00"/>
    <d v="2025-04-03T00:00:00"/>
    <n v="1"/>
    <n v="1"/>
    <s v="Necor"/>
    <n v="61.343561643835621"/>
    <x v="0"/>
    <s v="demand letter issued - Part of K1239.27"/>
    <n v="61.343561643835621"/>
  </r>
  <r>
    <n v="7788"/>
    <n v="246725"/>
    <n v="246725"/>
    <n v="0"/>
    <d v="2025-04-04T00:00:00"/>
    <s v="Fri"/>
    <d v="2025-04-05T00:00:00"/>
    <d v="2025-04-07T00:00:00"/>
    <d v="2025-04-07T00:00:00"/>
    <n v="2"/>
    <n v="0"/>
    <s v="Necor"/>
    <n v="135.1917808219178"/>
    <x v="1"/>
    <s v="weekend"/>
    <n v="0"/>
  </r>
  <r>
    <n v="7"/>
    <n v="25"/>
    <n v="25"/>
    <n v="0"/>
    <d v="2025-04-04T00:00:00"/>
    <s v="Fri"/>
    <d v="2025-04-05T00:00:00"/>
    <d v="2025-04-07T00:00:00"/>
    <d v="2025-04-07T00:00:00"/>
    <n v="2"/>
    <n v="0"/>
    <s v="ETC"/>
    <n v="1.3698630136986301E-2"/>
    <x v="1"/>
    <s v="weekend"/>
    <n v="0"/>
  </r>
  <r>
    <n v="2"/>
    <n v="344"/>
    <n v="344"/>
    <n v="0"/>
    <d v="2025-04-06T00:00:00"/>
    <s v="Sun"/>
    <d v="2025-04-07T00:00:00"/>
    <d v="2025-04-09T00:00:00"/>
    <d v="2025-04-09T00:00:00"/>
    <n v="2"/>
    <n v="2"/>
    <s v="Extensions"/>
    <n v="0.1884931506849315"/>
    <x v="0"/>
    <s v="demand letter issued - Part of K1239.27"/>
    <n v="0.1884931506849315"/>
  </r>
  <r>
    <n v="10"/>
    <n v="70"/>
    <n v="70"/>
    <n v="0"/>
    <d v="2025-04-06T00:00:00"/>
    <s v="Sun"/>
    <d v="2025-04-07T00:00:00"/>
    <d v="2025-04-08T00:00:00"/>
    <d v="2025-04-08T00:00:00"/>
    <n v="1"/>
    <n v="1"/>
    <s v="ETC"/>
    <n v="1.9178082191780823E-2"/>
    <x v="0"/>
    <s v="demand letter issued - Part of K1239.27"/>
    <n v="1.9178082191780823E-2"/>
  </r>
  <r>
    <n v="7321"/>
    <n v="214210"/>
    <n v="214210"/>
    <n v="0"/>
    <d v="2025-04-07T00:00:00"/>
    <s v="Mon"/>
    <d v="2025-04-08T00:00:00"/>
    <d v="2025-04-09T00:00:00"/>
    <d v="2025-04-09T00:00:00"/>
    <n v="1"/>
    <n v="1"/>
    <s v="Necor"/>
    <n v="58.68767123287671"/>
    <x v="0"/>
    <s v="demand letter issued - Part of K1239.27"/>
    <n v="58.68767123287671"/>
  </r>
  <r>
    <n v="2"/>
    <n v="992"/>
    <n v="992"/>
    <n v="0"/>
    <d v="2025-04-07T00:00:00"/>
    <s v="Mon"/>
    <d v="2025-04-08T00:00:00"/>
    <d v="2025-04-09T00:00:00"/>
    <d v="2025-04-09T00:00:00"/>
    <n v="1"/>
    <n v="1"/>
    <s v="Extensions"/>
    <n v="0.27178082191780822"/>
    <x v="0"/>
    <s v="demand letter issued - Part of K1239.27"/>
    <n v="0.27178082191780822"/>
  </r>
  <r>
    <n v="5"/>
    <n v="25"/>
    <n v="25"/>
    <n v="0"/>
    <d v="2025-04-07T00:00:00"/>
    <s v="Mon"/>
    <d v="2025-04-08T00:00:00"/>
    <d v="2025-04-09T00:00:00"/>
    <d v="2025-04-09T00:00:00"/>
    <n v="1"/>
    <n v="1"/>
    <s v="ETC"/>
    <n v="6.8493150684931503E-3"/>
    <x v="0"/>
    <s v="demand letter issued - Part of K1239.27"/>
    <n v="6.8493150684931503E-3"/>
  </r>
  <r>
    <n v="7883"/>
    <n v="213462"/>
    <n v="213462"/>
    <n v="0"/>
    <d v="2025-04-14T00:00:00"/>
    <s v="Mon"/>
    <d v="2025-04-15T00:00:00"/>
    <d v="2025-04-16T00:00:00"/>
    <d v="2025-04-16T00:00:00"/>
    <n v="1"/>
    <n v="1"/>
    <s v="Necor"/>
    <n v="58.482739726027397"/>
    <x v="0"/>
    <s v="demand letter issued - Part of K1239.27"/>
    <n v="58.482739726027397"/>
  </r>
  <r>
    <n v="9"/>
    <n v="8870"/>
    <n v="8870"/>
    <n v="0"/>
    <d v="2025-04-14T00:00:00"/>
    <s v="Mon"/>
    <d v="2025-04-15T00:00:00"/>
    <d v="2025-04-16T00:00:00"/>
    <d v="2025-04-16T00:00:00"/>
    <n v="1"/>
    <n v="1"/>
    <s v="Extensions"/>
    <n v="2.43013698630137"/>
    <x v="0"/>
    <s v="demand letter issued - Part of K1239.27"/>
    <n v="2.43013698630137"/>
  </r>
  <r>
    <n v="11"/>
    <n v="82"/>
    <n v="82"/>
    <n v="0"/>
    <d v="2025-04-14T00:00:00"/>
    <s v="Mon"/>
    <d v="2025-04-15T00:00:00"/>
    <d v="2025-04-16T00:00:00"/>
    <d v="2025-04-16T00:00:00"/>
    <n v="1"/>
    <n v="1"/>
    <s v="ETC"/>
    <n v="2.2465753424657536E-2"/>
    <x v="0"/>
    <s v="demand letter issued - Part of K1239.27"/>
    <n v="2.2465753424657536E-2"/>
  </r>
  <r>
    <n v="7444"/>
    <n v="209105"/>
    <n v="209105"/>
    <n v="0"/>
    <d v="2025-04-15T00:00:00"/>
    <s v="Tue"/>
    <d v="2025-04-16T00:00:00"/>
    <d v="2025-04-17T00:00:00"/>
    <d v="2025-04-17T00:00:00"/>
    <n v="1"/>
    <n v="1"/>
    <s v="Necor"/>
    <n v="57.289041095890411"/>
    <x v="0"/>
    <s v="demand letter issued - Part of K1239.27"/>
    <n v="57.289041095890411"/>
  </r>
  <r>
    <n v="5"/>
    <n v="1508"/>
    <n v="1508"/>
    <n v="0"/>
    <d v="2025-04-15T00:00:00"/>
    <s v="Tue"/>
    <d v="2025-04-16T00:00:00"/>
    <d v="2025-04-17T00:00:00"/>
    <d v="2025-04-17T00:00:00"/>
    <n v="1"/>
    <n v="1"/>
    <s v="Extensions"/>
    <n v="0.41315068493150686"/>
    <x v="0"/>
    <s v="demand letter issued - Part of K1239.27"/>
    <n v="0.41315068493150686"/>
  </r>
  <r>
    <n v="12"/>
    <n v="150"/>
    <n v="150"/>
    <n v="0"/>
    <d v="2025-04-15T00:00:00"/>
    <s v="Tue"/>
    <d v="2025-04-16T00:00:00"/>
    <d v="2025-04-17T00:00:00"/>
    <d v="2025-04-17T00:00:00"/>
    <n v="1"/>
    <n v="1"/>
    <s v="ETC"/>
    <n v="4.1095890410958902E-2"/>
    <x v="0"/>
    <s v="demand letter issued - Part of K1239.27"/>
    <n v="4.1095890410958902E-2"/>
  </r>
  <r>
    <n v="2"/>
    <n v="40"/>
    <n v="40"/>
    <n v="0"/>
    <d v="2025-04-21T00:00:00"/>
    <s v="Mon"/>
    <d v="2025-04-22T00:00:00"/>
    <d v="2025-04-25T00:00:00"/>
    <d v="2025-04-25T00:00:00"/>
    <n v="3"/>
    <n v="3"/>
    <s v="ETC"/>
    <n v="3.2876712328767127E-2"/>
    <x v="0"/>
    <s v="demand letter issued - Part of K1239.27"/>
    <n v="3.2876712328767127E-2"/>
  </r>
  <r>
    <n v="8268"/>
    <n v="260887"/>
    <n v="260887"/>
    <n v="0"/>
    <d v="2025-05-02T00:00:00"/>
    <s v="Fri"/>
    <d v="2025-05-03T00:00:00"/>
    <d v="2025-05-05T00:00:00"/>
    <d v="2025-05-05T00:00:00"/>
    <n v="2"/>
    <n v="0"/>
    <s v="Necor"/>
    <n v="142.95178082191782"/>
    <x v="1"/>
    <s v="weekend"/>
    <n v="0"/>
  </r>
  <r>
    <n v="2"/>
    <n v="2272"/>
    <n v="2272"/>
    <n v="0"/>
    <d v="2025-05-02T00:00:00"/>
    <s v="Fri"/>
    <d v="2025-05-03T00:00:00"/>
    <d v="2025-05-05T00:00:00"/>
    <d v="2025-05-05T00:00:00"/>
    <n v="2"/>
    <n v="0"/>
    <s v="Extensions"/>
    <n v="1.2449315068493152"/>
    <x v="1"/>
    <s v="weekend"/>
    <n v="0"/>
  </r>
  <r>
    <n v="318"/>
    <n v="10800"/>
    <n v="10800"/>
    <n v="0"/>
    <d v="2025-05-02T00:00:00"/>
    <s v="Fri"/>
    <d v="2025-05-03T00:00:00"/>
    <d v="2025-05-05T00:00:00"/>
    <d v="2025-05-05T00:00:00"/>
    <n v="2"/>
    <n v="0"/>
    <s v="ETC"/>
    <n v="5.9178082191780819"/>
    <x v="1"/>
    <s v="weekend"/>
    <n v="0"/>
  </r>
  <r>
    <n v="1"/>
    <n v="20"/>
    <n v="20"/>
    <n v="0"/>
    <d v="2025-05-05T00:00:00"/>
    <s v="Mon"/>
    <d v="2025-05-06T00:00:00"/>
    <d v="2025-05-19T00:00:00"/>
    <d v="2025-05-19T00:00:00"/>
    <n v="13"/>
    <n v="13"/>
    <s v="ETC"/>
    <n v="7.1232876712328766E-2"/>
    <x v="0"/>
    <s v="Demand letter issued - Part of K1,111.93"/>
    <n v="7.1232876712328766E-2"/>
  </r>
  <r>
    <n v="4"/>
    <n v="80"/>
    <n v="80"/>
    <n v="0"/>
    <d v="2025-05-07T00:00:00"/>
    <s v="Wed"/>
    <d v="2025-05-08T00:00:00"/>
    <d v="2025-05-09T00:00:00"/>
    <d v="2025-05-09T00:00:00"/>
    <n v="1"/>
    <n v="1"/>
    <s v="ETC"/>
    <n v="2.1917808219178082E-2"/>
    <x v="0"/>
    <s v="Demand letter issued - Part of K1,111.93"/>
    <n v="2.1917808219178082E-2"/>
  </r>
  <r>
    <n v="8231"/>
    <n v="223895"/>
    <n v="223945"/>
    <n v="-50"/>
    <d v="2025-05-16T00:00:00"/>
    <s v="Fri"/>
    <d v="2025-05-17T00:00:00"/>
    <d v="2025-05-19T00:00:00"/>
    <d v="2025-05-19T00:00:00"/>
    <n v="2"/>
    <n v="0"/>
    <s v="Necor"/>
    <n v="122.7095890410959"/>
    <x v="1"/>
    <s v="weekend"/>
    <n v="0"/>
  </r>
  <r>
    <n v="2"/>
    <n v="80"/>
    <n v="80"/>
    <n v="0"/>
    <d v="2025-05-16T00:00:00"/>
    <s v="Fri"/>
    <d v="2025-05-17T00:00:00"/>
    <d v="2025-05-19T00:00:00"/>
    <d v="2025-05-19T00:00:00"/>
    <n v="2"/>
    <n v="0"/>
    <s v="ETC"/>
    <n v="4.3835616438356165E-2"/>
    <x v="1"/>
    <s v="weekend"/>
    <n v="0"/>
  </r>
  <r>
    <n v="8266"/>
    <n v="230435"/>
    <n v="230435"/>
    <n v="0"/>
    <d v="2025-05-23T00:00:00"/>
    <s v="Fri"/>
    <d v="2025-05-24T00:00:00"/>
    <d v="2025-05-27T00:00:00"/>
    <d v="2025-05-27T00:00:00"/>
    <n v="3"/>
    <n v="0"/>
    <s v="Necor"/>
    <n v="189.3986301369863"/>
    <x v="2"/>
    <s v="Public Holiday"/>
    <n v="0"/>
  </r>
  <r>
    <n v="2"/>
    <n v="3127"/>
    <n v="3127"/>
    <n v="0"/>
    <d v="2025-05-23T00:00:00"/>
    <s v="Fri"/>
    <d v="2025-05-24T00:00:00"/>
    <d v="2025-05-27T00:00:00"/>
    <d v="2025-05-27T00:00:00"/>
    <n v="3"/>
    <n v="0"/>
    <s v="Extensions"/>
    <n v="2.5701369863013701"/>
    <x v="2"/>
    <s v="Public Holiday"/>
    <n v="0"/>
  </r>
  <r>
    <n v="3"/>
    <n v="120"/>
    <n v="120"/>
    <n v="0"/>
    <d v="2025-05-23T00:00:00"/>
    <s v="Fri"/>
    <d v="2025-05-24T00:00:00"/>
    <d v="2025-05-27T00:00:00"/>
    <d v="2025-05-27T00:00:00"/>
    <n v="3"/>
    <n v="0"/>
    <s v="ETC"/>
    <n v="9.8630136986301353E-2"/>
    <x v="2"/>
    <s v="Public Holiday"/>
    <n v="0"/>
  </r>
  <r>
    <n v="7749"/>
    <n v="239464"/>
    <n v="239464"/>
    <n v="0"/>
    <d v="2025-06-05T00:00:00"/>
    <s v="Thu"/>
    <d v="2025-06-06T00:00:00"/>
    <d v="2025-06-09T00:00:00"/>
    <d v="2025-06-09T00:00:00"/>
    <n v="3"/>
    <n v="1"/>
    <s v="Necor"/>
    <n v="196.81972602739728"/>
    <x v="0"/>
    <s v="Demand letter issued -Part of K646 "/>
    <n v="65.60657534246576"/>
  </r>
  <r>
    <n v="1"/>
    <n v="230"/>
    <n v="230"/>
    <n v="0"/>
    <d v="2025-06-05T00:00:00"/>
    <s v="Thu"/>
    <d v="2025-06-06T00:00:00"/>
    <d v="2025-06-09T00:00:00"/>
    <d v="2025-06-09T00:00:00"/>
    <n v="3"/>
    <n v="1"/>
    <s v="Extensions"/>
    <n v="0.18904109589041096"/>
    <x v="0"/>
    <s v="Demand letter issued -Part of K646 "/>
    <n v="6.3013698630136991E-2"/>
  </r>
  <r>
    <n v="8"/>
    <n v="170"/>
    <n v="170"/>
    <n v="0"/>
    <d v="2025-06-05T00:00:00"/>
    <s v="Thu"/>
    <d v="2025-06-06T00:00:00"/>
    <d v="2025-06-09T00:00:00"/>
    <d v="2025-06-09T00:00:00"/>
    <n v="3"/>
    <n v="1"/>
    <s v="ETC"/>
    <n v="0.13972602739726028"/>
    <x v="0"/>
    <s v="Demand letter issued -Part of K646 "/>
    <n v="4.6575342465753428E-2"/>
  </r>
  <r>
    <n v="8598"/>
    <n v="255270"/>
    <n v="255270"/>
    <n v="0"/>
    <d v="2025-06-13T00:00:00"/>
    <s v="Fri"/>
    <d v="2025-06-14T00:00:00"/>
    <d v="2025-06-16T00:00:00"/>
    <d v="2025-06-16T00:00:00"/>
    <n v="2"/>
    <n v="0"/>
    <s v="Necor"/>
    <n v="139.87397260273971"/>
    <x v="1"/>
    <s v="weekend"/>
    <n v="0"/>
  </r>
  <r>
    <n v="2"/>
    <n v="40"/>
    <n v="40"/>
    <n v="0"/>
    <d v="2025-06-13T00:00:00"/>
    <s v="Fri"/>
    <d v="2025-06-14T00:00:00"/>
    <d v="2025-06-16T00:00:00"/>
    <d v="2025-06-16T00:00:00"/>
    <n v="2"/>
    <n v="0"/>
    <s v="ETC"/>
    <n v="2.1917808219178082E-2"/>
    <x v="1"/>
    <s v="weekend"/>
    <n v="0"/>
  </r>
  <r>
    <n v="7676"/>
    <n v="224373"/>
    <n v="224373"/>
    <n v="0"/>
    <d v="2025-06-19T00:00:00"/>
    <s v="Thu"/>
    <d v="2025-06-20T00:00:00"/>
    <d v="2025-06-21T00:00:00"/>
    <d v="2025-06-21T00:00:00"/>
    <n v="1"/>
    <n v="1"/>
    <s v="Necor"/>
    <n v="61.472054794520552"/>
    <x v="0"/>
    <s v="Demand letter issued -Part of K646 "/>
    <n v="61.472054794520552"/>
  </r>
  <r>
    <n v="8350"/>
    <n v="232420"/>
    <n v="232420"/>
    <n v="0"/>
    <d v="2025-06-20T00:00:00"/>
    <s v="Fri"/>
    <d v="2025-06-21T00:00:00"/>
    <d v="2025-06-23T00:00:00"/>
    <d v="2025-06-23T00:00:00"/>
    <n v="2"/>
    <n v="0"/>
    <s v="Necor"/>
    <n v="127.35342465753425"/>
    <x v="1"/>
    <s v="weekend"/>
    <n v="0"/>
  </r>
  <r>
    <n v="2"/>
    <n v="205"/>
    <n v="205"/>
    <n v="0"/>
    <d v="2025-06-20T00:00:00"/>
    <s v="Fri"/>
    <d v="2025-06-21T00:00:00"/>
    <d v="2025-06-23T00:00:00"/>
    <d v="2025-06-23T00:00:00"/>
    <n v="2"/>
    <n v="0"/>
    <s v="Extensions"/>
    <n v="0.11232876712328767"/>
    <x v="1"/>
    <s v="weekend"/>
    <n v="0"/>
  </r>
  <r>
    <n v="1"/>
    <n v="5"/>
    <n v="5"/>
    <n v="0"/>
    <d v="2025-06-20T00:00:00"/>
    <s v="Fri"/>
    <d v="2025-06-21T00:00:00"/>
    <d v="2025-06-23T00:00:00"/>
    <d v="2025-06-23T00:00:00"/>
    <n v="2"/>
    <n v="0"/>
    <s v="ETC"/>
    <n v="2.7397260273972603E-3"/>
    <x v="1"/>
    <s v="weekend"/>
    <n v="0"/>
  </r>
  <r>
    <n v="9395"/>
    <n v="252520"/>
    <n v="252520"/>
    <n v="0"/>
    <d v="2025-06-27T00:00:00"/>
    <s v="Fri"/>
    <d v="2025-06-28T00:00:00"/>
    <d v="2025-06-30T00:00:00"/>
    <d v="2025-06-30T00:00:00"/>
    <n v="2"/>
    <n v="0"/>
    <s v="Necor"/>
    <n v="138.36712328767123"/>
    <x v="1"/>
    <s v="weekend"/>
    <n v="0"/>
  </r>
  <r>
    <n v="2"/>
    <n v="530"/>
    <n v="530"/>
    <n v="0"/>
    <d v="2025-06-27T00:00:00"/>
    <s v="Fri"/>
    <d v="2025-06-28T00:00:00"/>
    <d v="2025-06-30T00:00:00"/>
    <d v="2025-06-30T00:00:00"/>
    <n v="2"/>
    <n v="0"/>
    <s v="Extensions"/>
    <n v="0.29041095890410956"/>
    <x v="1"/>
    <s v="weekend"/>
    <n v="0"/>
  </r>
  <r>
    <n v="3"/>
    <n v="100"/>
    <n v="100"/>
    <n v="0"/>
    <d v="2025-06-27T00:00:00"/>
    <s v="Fri"/>
    <d v="2025-06-28T00:00:00"/>
    <d v="2025-06-30T00:00:00"/>
    <d v="2025-06-30T00:00:00"/>
    <n v="2"/>
    <n v="0"/>
    <s v="ETC"/>
    <n v="5.4794520547945202E-2"/>
    <x v="1"/>
    <s v="weekend"/>
    <n v="0"/>
  </r>
  <r>
    <n v="8296"/>
    <n v="214670"/>
    <n v="214670"/>
    <n v="0"/>
    <d v="2025-07-30T00:00:00"/>
    <s v="Wed"/>
    <d v="2025-07-31T00:00:00"/>
    <d v="2025-08-01T00:00:00"/>
    <d v="2025-08-01T00:00:00"/>
    <n v="1"/>
    <n v="1"/>
    <s v="Necor"/>
    <n v="58.813698630136983"/>
    <x v="3"/>
    <m/>
    <n v="58.813698630136983"/>
  </r>
  <r>
    <n v="4"/>
    <n v="70"/>
    <n v="70"/>
    <n v="0"/>
    <d v="2025-07-30T00:00:00"/>
    <s v="Wed"/>
    <d v="2025-07-31T00:00:00"/>
    <d v="2025-08-01T00:00:00"/>
    <d v="2025-08-01T00:00:00"/>
    <n v="1"/>
    <n v="1"/>
    <s v="ETC"/>
    <n v="1.9178082191780823E-2"/>
    <x v="3"/>
    <m/>
    <n v="1.9178082191780823E-2"/>
  </r>
  <r>
    <n v="9313"/>
    <n v="301045"/>
    <n v="301045"/>
    <n v="0"/>
    <d v="2025-08-01T00:00:00"/>
    <s v="Fri"/>
    <d v="2025-08-02T00:00:00"/>
    <d v="2025-08-05T00:00:00"/>
    <d v="2025-08-05T00:00:00"/>
    <n v="3"/>
    <n v="1"/>
    <s v="Necor"/>
    <n v="247.43424657534248"/>
    <x v="3"/>
    <m/>
    <n v="82.478082191780828"/>
  </r>
  <r>
    <n v="9900"/>
    <n v="288935"/>
    <n v="288935"/>
    <n v="0"/>
    <d v="2025-08-08T00:00:00"/>
    <s v="Fri"/>
    <d v="2025-08-09T00:00:00"/>
    <d v="2025-08-11T00:00:00"/>
    <d v="2025-08-11T00:00:00"/>
    <n v="2"/>
    <n v="0"/>
    <s v="Necor"/>
    <n v="158.32054794520548"/>
    <x v="1"/>
    <s v="weekend"/>
    <n v="0"/>
  </r>
  <r>
    <n v="8891"/>
    <n v="241595"/>
    <n v="241595"/>
    <n v="0"/>
    <d v="2025-08-22T00:00:00"/>
    <s v="Fri"/>
    <d v="2025-08-23T00:00:00"/>
    <d v="2025-08-25T00:00:00"/>
    <d v="2025-08-25T00:00:00"/>
    <n v="2"/>
    <n v="0"/>
    <s v="Necor"/>
    <n v="132.38082191780822"/>
    <x v="1"/>
    <s v="weekend"/>
    <n v="0"/>
  </r>
  <r>
    <n v="9800"/>
    <n v="260705"/>
    <n v="260705"/>
    <n v="0"/>
    <d v="2025-08-29T00:00:00"/>
    <s v="Fri"/>
    <d v="2025-08-30T00:00:00"/>
    <d v="2025-09-01T00:00:00"/>
    <d v="2025-09-01T00:00:00"/>
    <n v="2"/>
    <n v="0"/>
    <s v="Necor"/>
    <n v="142.85205479452054"/>
    <x v="1"/>
    <s v="weekend"/>
    <n v="0"/>
  </r>
  <r>
    <n v="34"/>
    <n v="1187"/>
    <n v="1187"/>
    <n v="0"/>
    <d v="2025-08-29T00:00:00"/>
    <s v="Fri"/>
    <d v="2025-08-30T00:00:00"/>
    <d v="2025-09-01T00:00:00"/>
    <d v="2025-09-01T00:00:00"/>
    <n v="2"/>
    <n v="0"/>
    <s v="ETC"/>
    <n v="0.6504109589041096"/>
    <x v="1"/>
    <s v="weekend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2A4BA8-8620-432A-A990-365C42D1BBCF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R2:S7" firstHeaderRow="1" firstDataRow="1" firstDataCol="1"/>
  <pivotFields count="16">
    <pivotField numFmtId="164" showAll="0"/>
    <pivotField numFmtId="164" showAll="0"/>
    <pivotField numFmtId="164" showAll="0"/>
    <pivotField showAll="0"/>
    <pivotField numFmtId="14" showAll="0"/>
    <pivotField showAll="0"/>
    <pivotField numFmtId="14" showAll="0"/>
    <pivotField numFmtId="14" showAll="0"/>
    <pivotField numFmtId="166" showAll="0"/>
    <pivotField showAll="0"/>
    <pivotField showAll="0"/>
    <pivotField showAll="0"/>
    <pivotField numFmtId="43" showAll="0"/>
    <pivotField axis="axisRow" showAll="0">
      <items count="5">
        <item x="0"/>
        <item x="2"/>
        <item x="1"/>
        <item x="3"/>
        <item t="default"/>
      </items>
    </pivotField>
    <pivotField showAll="0"/>
    <pivotField dataField="1" numFmtId="43" showAll="0"/>
  </pivotFields>
  <rowFields count="1">
    <field x="1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Interest @10%2" fld="15" baseField="0" baseItem="0" numFmtId="4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S46"/>
  <sheetViews>
    <sheetView tabSelected="1" topLeftCell="C1" workbookViewId="0">
      <selection activeCell="N41" sqref="N41"/>
    </sheetView>
  </sheetViews>
  <sheetFormatPr defaultRowHeight="15" x14ac:dyDescent="0.25"/>
  <cols>
    <col min="1" max="1" width="10.140625" customWidth="1"/>
    <col min="2" max="2" width="12" customWidth="1"/>
    <col min="3" max="3" width="14.140625" customWidth="1"/>
    <col min="4" max="4" width="4" bestFit="1" customWidth="1"/>
    <col min="5" max="5" width="10.5703125" bestFit="1" customWidth="1"/>
    <col min="6" max="6" width="10" bestFit="1" customWidth="1"/>
    <col min="7" max="7" width="21.7109375" bestFit="1" customWidth="1"/>
    <col min="8" max="8" width="16.7109375" customWidth="1"/>
    <col min="9" max="9" width="12.28515625" customWidth="1"/>
    <col min="10" max="10" width="4" bestFit="1" customWidth="1"/>
    <col min="11" max="11" width="6.5703125" customWidth="1"/>
    <col min="12" max="12" width="14.5703125" bestFit="1" customWidth="1"/>
    <col min="13" max="13" width="13.28515625" bestFit="1" customWidth="1"/>
    <col min="14" max="14" width="23.28515625" bestFit="1" customWidth="1"/>
    <col min="15" max="15" width="36.28515625" bestFit="1" customWidth="1"/>
    <col min="16" max="16" width="14" bestFit="1" customWidth="1"/>
    <col min="18" max="18" width="13.7109375" bestFit="1" customWidth="1"/>
    <col min="19" max="19" width="21.85546875" bestFit="1" customWidth="1"/>
  </cols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0" t="s">
        <v>7</v>
      </c>
      <c r="J1" s="1" t="s">
        <v>3</v>
      </c>
      <c r="K1" s="10" t="s">
        <v>3</v>
      </c>
      <c r="L1" s="1" t="s">
        <v>16</v>
      </c>
      <c r="M1" s="1" t="s">
        <v>18</v>
      </c>
      <c r="N1" s="1" t="s">
        <v>24</v>
      </c>
      <c r="O1" s="2" t="s">
        <v>19</v>
      </c>
      <c r="P1" s="10" t="s">
        <v>18</v>
      </c>
    </row>
    <row r="2" spans="1:19" hidden="1" x14ac:dyDescent="0.25">
      <c r="A2" s="3">
        <v>7026</v>
      </c>
      <c r="B2" s="3">
        <v>223904</v>
      </c>
      <c r="C2" s="3">
        <v>223904</v>
      </c>
      <c r="D2" s="4">
        <v>0</v>
      </c>
      <c r="E2" s="5">
        <v>45748</v>
      </c>
      <c r="F2" s="4" t="s">
        <v>8</v>
      </c>
      <c r="G2" s="5">
        <v>45749</v>
      </c>
      <c r="H2" s="5">
        <v>45750</v>
      </c>
      <c r="I2" s="11">
        <v>45750</v>
      </c>
      <c r="J2" s="4">
        <v>1</v>
      </c>
      <c r="K2" s="4">
        <f>I2-G2</f>
        <v>1</v>
      </c>
      <c r="L2" s="4" t="s">
        <v>15</v>
      </c>
      <c r="M2" s="6">
        <f>C2*0.1/365*J2</f>
        <v>61.343561643835621</v>
      </c>
      <c r="N2" s="14" t="s">
        <v>25</v>
      </c>
      <c r="O2" s="12" t="s">
        <v>21</v>
      </c>
      <c r="P2" s="14">
        <f>C2*0.1/365*K2</f>
        <v>61.343561643835621</v>
      </c>
      <c r="R2" s="15" t="s">
        <v>27</v>
      </c>
      <c r="S2" t="s">
        <v>30</v>
      </c>
    </row>
    <row r="3" spans="1:19" hidden="1" x14ac:dyDescent="0.25">
      <c r="A3" s="3">
        <v>7788</v>
      </c>
      <c r="B3" s="3">
        <v>246725</v>
      </c>
      <c r="C3" s="3">
        <v>246725</v>
      </c>
      <c r="D3" s="4">
        <v>0</v>
      </c>
      <c r="E3" s="5">
        <v>45751</v>
      </c>
      <c r="F3" s="4" t="s">
        <v>9</v>
      </c>
      <c r="G3" s="5">
        <v>45752</v>
      </c>
      <c r="H3" s="5">
        <v>45754</v>
      </c>
      <c r="I3" s="11">
        <v>45754</v>
      </c>
      <c r="J3" s="4">
        <v>2</v>
      </c>
      <c r="K3" s="4">
        <v>0</v>
      </c>
      <c r="L3" s="4" t="s">
        <v>15</v>
      </c>
      <c r="M3" s="6">
        <f t="shared" ref="M3:M45" si="0">C3*0.1/365*J3</f>
        <v>135.1917808219178</v>
      </c>
      <c r="N3" s="12" t="s">
        <v>20</v>
      </c>
      <c r="O3" s="12" t="s">
        <v>20</v>
      </c>
      <c r="P3" s="14">
        <f t="shared" ref="P3:P45" si="1">C3*0.1/365*K3</f>
        <v>0</v>
      </c>
      <c r="R3" s="16" t="s">
        <v>25</v>
      </c>
      <c r="S3" s="13">
        <v>366.51041095890412</v>
      </c>
    </row>
    <row r="4" spans="1:19" hidden="1" x14ac:dyDescent="0.25">
      <c r="A4" s="3">
        <v>7</v>
      </c>
      <c r="B4" s="3">
        <v>25</v>
      </c>
      <c r="C4" s="3">
        <v>25</v>
      </c>
      <c r="D4" s="4">
        <v>0</v>
      </c>
      <c r="E4" s="5">
        <v>45751</v>
      </c>
      <c r="F4" s="4" t="s">
        <v>9</v>
      </c>
      <c r="G4" s="5">
        <v>45752</v>
      </c>
      <c r="H4" s="5">
        <v>45754</v>
      </c>
      <c r="I4" s="11">
        <v>45754</v>
      </c>
      <c r="J4" s="4">
        <v>2</v>
      </c>
      <c r="K4" s="4">
        <v>0</v>
      </c>
      <c r="L4" s="4" t="s">
        <v>17</v>
      </c>
      <c r="M4" s="6">
        <f t="shared" si="0"/>
        <v>1.3698630136986301E-2</v>
      </c>
      <c r="N4" s="12" t="s">
        <v>20</v>
      </c>
      <c r="O4" s="12" t="s">
        <v>20</v>
      </c>
      <c r="P4" s="14">
        <f t="shared" si="1"/>
        <v>0</v>
      </c>
      <c r="R4" s="16" t="s">
        <v>22</v>
      </c>
      <c r="S4" s="13">
        <v>0</v>
      </c>
    </row>
    <row r="5" spans="1:19" hidden="1" x14ac:dyDescent="0.25">
      <c r="A5" s="3">
        <v>2</v>
      </c>
      <c r="B5" s="3">
        <v>344</v>
      </c>
      <c r="C5" s="3">
        <v>344</v>
      </c>
      <c r="D5" s="4">
        <v>0</v>
      </c>
      <c r="E5" s="5">
        <v>45753</v>
      </c>
      <c r="F5" s="4" t="s">
        <v>13</v>
      </c>
      <c r="G5" s="5">
        <v>45754</v>
      </c>
      <c r="H5" s="5">
        <v>45756</v>
      </c>
      <c r="I5" s="11">
        <v>45756</v>
      </c>
      <c r="J5" s="4">
        <v>2</v>
      </c>
      <c r="K5" s="4">
        <f t="shared" ref="K5:K40" si="2">I5-G5</f>
        <v>2</v>
      </c>
      <c r="L5" s="4" t="s">
        <v>14</v>
      </c>
      <c r="M5" s="6">
        <f t="shared" si="0"/>
        <v>0.1884931506849315</v>
      </c>
      <c r="N5" s="14" t="s">
        <v>25</v>
      </c>
      <c r="O5" s="12" t="s">
        <v>21</v>
      </c>
      <c r="P5" s="14">
        <f t="shared" si="1"/>
        <v>0.1884931506849315</v>
      </c>
      <c r="R5" s="16" t="s">
        <v>20</v>
      </c>
      <c r="S5" s="13">
        <v>0</v>
      </c>
    </row>
    <row r="6" spans="1:19" hidden="1" x14ac:dyDescent="0.25">
      <c r="A6" s="3">
        <v>10</v>
      </c>
      <c r="B6" s="3">
        <v>70</v>
      </c>
      <c r="C6" s="3">
        <v>70</v>
      </c>
      <c r="D6" s="4">
        <v>0</v>
      </c>
      <c r="E6" s="5">
        <v>45753</v>
      </c>
      <c r="F6" s="4" t="s">
        <v>13</v>
      </c>
      <c r="G6" s="5">
        <v>45754</v>
      </c>
      <c r="H6" s="5">
        <v>45755</v>
      </c>
      <c r="I6" s="11">
        <v>45755</v>
      </c>
      <c r="J6" s="4">
        <v>1</v>
      </c>
      <c r="K6" s="4">
        <f t="shared" si="2"/>
        <v>1</v>
      </c>
      <c r="L6" s="4" t="s">
        <v>17</v>
      </c>
      <c r="M6" s="6">
        <f t="shared" si="0"/>
        <v>1.9178082191780823E-2</v>
      </c>
      <c r="N6" s="14" t="s">
        <v>25</v>
      </c>
      <c r="O6" s="12" t="s">
        <v>21</v>
      </c>
      <c r="P6" s="14">
        <f t="shared" si="1"/>
        <v>1.9178082191780823E-2</v>
      </c>
      <c r="R6" s="16" t="s">
        <v>28</v>
      </c>
      <c r="S6" s="13">
        <v>141.31095890410958</v>
      </c>
    </row>
    <row r="7" spans="1:19" hidden="1" x14ac:dyDescent="0.25">
      <c r="A7" s="3">
        <v>7321</v>
      </c>
      <c r="B7" s="3">
        <v>214210</v>
      </c>
      <c r="C7" s="3">
        <v>214210</v>
      </c>
      <c r="D7" s="4">
        <v>0</v>
      </c>
      <c r="E7" s="5">
        <v>45754</v>
      </c>
      <c r="F7" s="4" t="s">
        <v>10</v>
      </c>
      <c r="G7" s="5">
        <v>45755</v>
      </c>
      <c r="H7" s="5">
        <v>45756</v>
      </c>
      <c r="I7" s="11">
        <v>45756</v>
      </c>
      <c r="J7" s="4">
        <v>1</v>
      </c>
      <c r="K7" s="4">
        <f t="shared" si="2"/>
        <v>1</v>
      </c>
      <c r="L7" s="4" t="s">
        <v>15</v>
      </c>
      <c r="M7" s="6">
        <f t="shared" si="0"/>
        <v>58.68767123287671</v>
      </c>
      <c r="N7" s="14" t="s">
        <v>25</v>
      </c>
      <c r="O7" s="12" t="s">
        <v>21</v>
      </c>
      <c r="P7" s="14">
        <f t="shared" si="1"/>
        <v>58.68767123287671</v>
      </c>
      <c r="R7" s="16" t="s">
        <v>29</v>
      </c>
      <c r="S7" s="13">
        <v>507.82136986301373</v>
      </c>
    </row>
    <row r="8" spans="1:19" hidden="1" x14ac:dyDescent="0.25">
      <c r="A8" s="3">
        <v>2</v>
      </c>
      <c r="B8" s="3">
        <v>992</v>
      </c>
      <c r="C8" s="3">
        <v>992</v>
      </c>
      <c r="D8" s="4">
        <v>0</v>
      </c>
      <c r="E8" s="5">
        <v>45754</v>
      </c>
      <c r="F8" s="4" t="s">
        <v>10</v>
      </c>
      <c r="G8" s="5">
        <v>45755</v>
      </c>
      <c r="H8" s="5">
        <v>45756</v>
      </c>
      <c r="I8" s="11">
        <v>45756</v>
      </c>
      <c r="J8" s="4">
        <v>1</v>
      </c>
      <c r="K8" s="4">
        <f t="shared" si="2"/>
        <v>1</v>
      </c>
      <c r="L8" s="4" t="s">
        <v>14</v>
      </c>
      <c r="M8" s="6">
        <f t="shared" si="0"/>
        <v>0.27178082191780822</v>
      </c>
      <c r="N8" s="14" t="s">
        <v>25</v>
      </c>
      <c r="O8" s="12" t="s">
        <v>21</v>
      </c>
      <c r="P8" s="14">
        <f t="shared" si="1"/>
        <v>0.27178082191780822</v>
      </c>
    </row>
    <row r="9" spans="1:19" hidden="1" x14ac:dyDescent="0.25">
      <c r="A9" s="3">
        <v>5</v>
      </c>
      <c r="B9" s="3">
        <v>25</v>
      </c>
      <c r="C9" s="3">
        <v>25</v>
      </c>
      <c r="D9" s="4">
        <v>0</v>
      </c>
      <c r="E9" s="5">
        <v>45754</v>
      </c>
      <c r="F9" s="4" t="s">
        <v>10</v>
      </c>
      <c r="G9" s="5">
        <v>45755</v>
      </c>
      <c r="H9" s="5">
        <v>45756</v>
      </c>
      <c r="I9" s="11">
        <v>45756</v>
      </c>
      <c r="J9" s="4">
        <v>1</v>
      </c>
      <c r="K9" s="4">
        <f t="shared" si="2"/>
        <v>1</v>
      </c>
      <c r="L9" s="4" t="s">
        <v>17</v>
      </c>
      <c r="M9" s="6">
        <f t="shared" si="0"/>
        <v>6.8493150684931503E-3</v>
      </c>
      <c r="N9" s="14" t="s">
        <v>25</v>
      </c>
      <c r="O9" s="12" t="s">
        <v>21</v>
      </c>
      <c r="P9" s="14">
        <f t="shared" si="1"/>
        <v>6.8493150684931503E-3</v>
      </c>
    </row>
    <row r="10" spans="1:19" hidden="1" x14ac:dyDescent="0.25">
      <c r="A10" s="3">
        <v>7883</v>
      </c>
      <c r="B10" s="3">
        <v>213462</v>
      </c>
      <c r="C10" s="3">
        <v>213462</v>
      </c>
      <c r="D10" s="4">
        <v>0</v>
      </c>
      <c r="E10" s="5">
        <v>45761</v>
      </c>
      <c r="F10" s="4" t="s">
        <v>10</v>
      </c>
      <c r="G10" s="5">
        <v>45762</v>
      </c>
      <c r="H10" s="5">
        <v>45763</v>
      </c>
      <c r="I10" s="11">
        <v>45763</v>
      </c>
      <c r="J10" s="4">
        <v>1</v>
      </c>
      <c r="K10" s="4">
        <f t="shared" si="2"/>
        <v>1</v>
      </c>
      <c r="L10" s="4" t="s">
        <v>15</v>
      </c>
      <c r="M10" s="6">
        <f t="shared" si="0"/>
        <v>58.482739726027397</v>
      </c>
      <c r="N10" s="14" t="s">
        <v>25</v>
      </c>
      <c r="O10" s="12" t="s">
        <v>21</v>
      </c>
      <c r="P10" s="14">
        <f t="shared" si="1"/>
        <v>58.482739726027397</v>
      </c>
    </row>
    <row r="11" spans="1:19" hidden="1" x14ac:dyDescent="0.25">
      <c r="A11" s="3">
        <v>9</v>
      </c>
      <c r="B11" s="3">
        <v>8870</v>
      </c>
      <c r="C11" s="3">
        <v>8870</v>
      </c>
      <c r="D11" s="4">
        <v>0</v>
      </c>
      <c r="E11" s="5">
        <v>45761</v>
      </c>
      <c r="F11" s="4" t="s">
        <v>10</v>
      </c>
      <c r="G11" s="5">
        <v>45762</v>
      </c>
      <c r="H11" s="5">
        <v>45763</v>
      </c>
      <c r="I11" s="11">
        <v>45763</v>
      </c>
      <c r="J11" s="4">
        <v>1</v>
      </c>
      <c r="K11" s="4">
        <f t="shared" si="2"/>
        <v>1</v>
      </c>
      <c r="L11" s="4" t="s">
        <v>14</v>
      </c>
      <c r="M11" s="6">
        <f t="shared" si="0"/>
        <v>2.43013698630137</v>
      </c>
      <c r="N11" s="14" t="s">
        <v>25</v>
      </c>
      <c r="O11" s="12" t="s">
        <v>21</v>
      </c>
      <c r="P11" s="14">
        <f t="shared" si="1"/>
        <v>2.43013698630137</v>
      </c>
    </row>
    <row r="12" spans="1:19" hidden="1" x14ac:dyDescent="0.25">
      <c r="A12" s="3">
        <v>11</v>
      </c>
      <c r="B12" s="3">
        <v>82</v>
      </c>
      <c r="C12" s="3">
        <v>82</v>
      </c>
      <c r="D12" s="4">
        <v>0</v>
      </c>
      <c r="E12" s="5">
        <v>45761</v>
      </c>
      <c r="F12" s="4" t="s">
        <v>10</v>
      </c>
      <c r="G12" s="5">
        <v>45762</v>
      </c>
      <c r="H12" s="5">
        <v>45763</v>
      </c>
      <c r="I12" s="11">
        <v>45763</v>
      </c>
      <c r="J12" s="4">
        <v>1</v>
      </c>
      <c r="K12" s="4">
        <f t="shared" si="2"/>
        <v>1</v>
      </c>
      <c r="L12" s="4" t="s">
        <v>17</v>
      </c>
      <c r="M12" s="6">
        <f t="shared" si="0"/>
        <v>2.2465753424657536E-2</v>
      </c>
      <c r="N12" s="14" t="s">
        <v>25</v>
      </c>
      <c r="O12" s="12" t="s">
        <v>21</v>
      </c>
      <c r="P12" s="14">
        <f t="shared" si="1"/>
        <v>2.2465753424657536E-2</v>
      </c>
    </row>
    <row r="13" spans="1:19" hidden="1" x14ac:dyDescent="0.25">
      <c r="A13" s="7">
        <v>7444</v>
      </c>
      <c r="B13" s="7">
        <v>209105</v>
      </c>
      <c r="C13" s="7">
        <v>209105</v>
      </c>
      <c r="D13" s="4">
        <v>0</v>
      </c>
      <c r="E13" s="5">
        <v>45762</v>
      </c>
      <c r="F13" s="4" t="s">
        <v>8</v>
      </c>
      <c r="G13" s="5">
        <v>45763</v>
      </c>
      <c r="H13" s="5">
        <v>45764</v>
      </c>
      <c r="I13" s="11">
        <v>45764</v>
      </c>
      <c r="J13" s="4">
        <v>1</v>
      </c>
      <c r="K13" s="4">
        <f t="shared" si="2"/>
        <v>1</v>
      </c>
      <c r="L13" s="4" t="s">
        <v>15</v>
      </c>
      <c r="M13" s="6">
        <f t="shared" si="0"/>
        <v>57.289041095890411</v>
      </c>
      <c r="N13" s="14" t="s">
        <v>25</v>
      </c>
      <c r="O13" s="12" t="s">
        <v>21</v>
      </c>
      <c r="P13" s="14">
        <f t="shared" si="1"/>
        <v>57.289041095890411</v>
      </c>
    </row>
    <row r="14" spans="1:19" hidden="1" x14ac:dyDescent="0.25">
      <c r="A14" s="3">
        <v>5</v>
      </c>
      <c r="B14" s="3">
        <v>1508</v>
      </c>
      <c r="C14" s="3">
        <v>1508</v>
      </c>
      <c r="D14" s="4">
        <v>0</v>
      </c>
      <c r="E14" s="5">
        <v>45762</v>
      </c>
      <c r="F14" s="4" t="s">
        <v>8</v>
      </c>
      <c r="G14" s="5">
        <v>45763</v>
      </c>
      <c r="H14" s="5">
        <v>45764</v>
      </c>
      <c r="I14" s="11">
        <v>45764</v>
      </c>
      <c r="J14" s="4">
        <v>1</v>
      </c>
      <c r="K14" s="4">
        <f t="shared" si="2"/>
        <v>1</v>
      </c>
      <c r="L14" s="4" t="s">
        <v>14</v>
      </c>
      <c r="M14" s="6">
        <f t="shared" si="0"/>
        <v>0.41315068493150686</v>
      </c>
      <c r="N14" s="14" t="s">
        <v>25</v>
      </c>
      <c r="O14" s="12" t="s">
        <v>21</v>
      </c>
      <c r="P14" s="14">
        <f t="shared" si="1"/>
        <v>0.41315068493150686</v>
      </c>
    </row>
    <row r="15" spans="1:19" hidden="1" x14ac:dyDescent="0.25">
      <c r="A15" s="3">
        <v>12</v>
      </c>
      <c r="B15" s="3">
        <v>150</v>
      </c>
      <c r="C15" s="3">
        <v>150</v>
      </c>
      <c r="D15" s="4">
        <v>0</v>
      </c>
      <c r="E15" s="5">
        <v>45762</v>
      </c>
      <c r="F15" s="4" t="s">
        <v>8</v>
      </c>
      <c r="G15" s="5">
        <v>45763</v>
      </c>
      <c r="H15" s="5">
        <v>45764</v>
      </c>
      <c r="I15" s="11">
        <v>45764</v>
      </c>
      <c r="J15" s="4">
        <v>1</v>
      </c>
      <c r="K15" s="4">
        <f t="shared" si="2"/>
        <v>1</v>
      </c>
      <c r="L15" s="4" t="s">
        <v>17</v>
      </c>
      <c r="M15" s="6">
        <f t="shared" si="0"/>
        <v>4.1095890410958902E-2</v>
      </c>
      <c r="N15" s="14" t="s">
        <v>25</v>
      </c>
      <c r="O15" s="12" t="s">
        <v>21</v>
      </c>
      <c r="P15" s="14">
        <f t="shared" si="1"/>
        <v>4.1095890410958902E-2</v>
      </c>
    </row>
    <row r="16" spans="1:19" hidden="1" x14ac:dyDescent="0.25">
      <c r="A16" s="3">
        <v>2</v>
      </c>
      <c r="B16" s="3">
        <v>40</v>
      </c>
      <c r="C16" s="3">
        <v>40</v>
      </c>
      <c r="D16" s="4">
        <v>0</v>
      </c>
      <c r="E16" s="5">
        <v>45768</v>
      </c>
      <c r="F16" s="4" t="s">
        <v>10</v>
      </c>
      <c r="G16" s="5">
        <v>45769</v>
      </c>
      <c r="H16" s="5">
        <v>45772</v>
      </c>
      <c r="I16" s="11">
        <v>45772</v>
      </c>
      <c r="J16" s="4">
        <v>3</v>
      </c>
      <c r="K16" s="4">
        <f t="shared" si="2"/>
        <v>3</v>
      </c>
      <c r="L16" s="4" t="s">
        <v>17</v>
      </c>
      <c r="M16" s="6">
        <f t="shared" si="0"/>
        <v>3.2876712328767127E-2</v>
      </c>
      <c r="N16" s="14" t="s">
        <v>25</v>
      </c>
      <c r="O16" s="12" t="s">
        <v>21</v>
      </c>
      <c r="P16" s="14">
        <f t="shared" si="1"/>
        <v>3.2876712328767127E-2</v>
      </c>
    </row>
    <row r="17" spans="1:17" hidden="1" x14ac:dyDescent="0.25">
      <c r="A17" s="3">
        <v>8268</v>
      </c>
      <c r="B17" s="3">
        <v>260887</v>
      </c>
      <c r="C17" s="3">
        <v>260887</v>
      </c>
      <c r="D17" s="4">
        <v>0</v>
      </c>
      <c r="E17" s="5">
        <v>45779</v>
      </c>
      <c r="F17" s="4" t="s">
        <v>9</v>
      </c>
      <c r="G17" s="5">
        <v>45780</v>
      </c>
      <c r="H17" s="5">
        <v>45782</v>
      </c>
      <c r="I17" s="11">
        <v>45782</v>
      </c>
      <c r="J17" s="4">
        <v>2</v>
      </c>
      <c r="K17" s="4">
        <v>0</v>
      </c>
      <c r="L17" s="4" t="s">
        <v>15</v>
      </c>
      <c r="M17" s="6">
        <f t="shared" si="0"/>
        <v>142.95178082191782</v>
      </c>
      <c r="N17" s="12" t="s">
        <v>20</v>
      </c>
      <c r="O17" s="12" t="s">
        <v>20</v>
      </c>
      <c r="P17" s="14">
        <f t="shared" si="1"/>
        <v>0</v>
      </c>
    </row>
    <row r="18" spans="1:17" hidden="1" x14ac:dyDescent="0.25">
      <c r="A18" s="3">
        <v>2</v>
      </c>
      <c r="B18" s="3">
        <v>2272</v>
      </c>
      <c r="C18" s="3">
        <v>2272</v>
      </c>
      <c r="D18" s="4">
        <v>0</v>
      </c>
      <c r="E18" s="5">
        <v>45779</v>
      </c>
      <c r="F18" s="4" t="s">
        <v>9</v>
      </c>
      <c r="G18" s="5">
        <v>45780</v>
      </c>
      <c r="H18" s="5">
        <v>45782</v>
      </c>
      <c r="I18" s="11">
        <v>45782</v>
      </c>
      <c r="J18" s="4">
        <v>2</v>
      </c>
      <c r="K18" s="4">
        <v>0</v>
      </c>
      <c r="L18" s="4" t="s">
        <v>14</v>
      </c>
      <c r="M18" s="6">
        <f t="shared" si="0"/>
        <v>1.2449315068493152</v>
      </c>
      <c r="N18" s="12" t="s">
        <v>20</v>
      </c>
      <c r="O18" s="12" t="s">
        <v>20</v>
      </c>
      <c r="P18" s="14">
        <f t="shared" si="1"/>
        <v>0</v>
      </c>
    </row>
    <row r="19" spans="1:17" hidden="1" x14ac:dyDescent="0.25">
      <c r="A19" s="3">
        <v>318</v>
      </c>
      <c r="B19" s="3">
        <v>10800</v>
      </c>
      <c r="C19" s="3">
        <v>10800</v>
      </c>
      <c r="D19" s="4">
        <v>0</v>
      </c>
      <c r="E19" s="5">
        <v>45779</v>
      </c>
      <c r="F19" s="4" t="s">
        <v>9</v>
      </c>
      <c r="G19" s="5">
        <v>45780</v>
      </c>
      <c r="H19" s="5">
        <v>45782</v>
      </c>
      <c r="I19" s="11">
        <v>45782</v>
      </c>
      <c r="J19" s="4">
        <v>2</v>
      </c>
      <c r="K19" s="4">
        <v>0</v>
      </c>
      <c r="L19" s="4" t="s">
        <v>17</v>
      </c>
      <c r="M19" s="6">
        <f t="shared" si="0"/>
        <v>5.9178082191780819</v>
      </c>
      <c r="N19" s="12" t="s">
        <v>20</v>
      </c>
      <c r="O19" s="12" t="s">
        <v>20</v>
      </c>
      <c r="P19" s="14">
        <f t="shared" si="1"/>
        <v>0</v>
      </c>
    </row>
    <row r="20" spans="1:17" hidden="1" x14ac:dyDescent="0.25">
      <c r="A20" s="3">
        <v>1</v>
      </c>
      <c r="B20" s="3">
        <v>20</v>
      </c>
      <c r="C20" s="3">
        <v>20</v>
      </c>
      <c r="D20" s="4">
        <v>0</v>
      </c>
      <c r="E20" s="5">
        <v>45782</v>
      </c>
      <c r="F20" s="4" t="s">
        <v>10</v>
      </c>
      <c r="G20" s="5">
        <v>45783</v>
      </c>
      <c r="H20" s="8">
        <v>45796</v>
      </c>
      <c r="I20" s="11">
        <v>45796</v>
      </c>
      <c r="J20" s="4">
        <v>13</v>
      </c>
      <c r="K20" s="4">
        <f t="shared" si="2"/>
        <v>13</v>
      </c>
      <c r="L20" s="4" t="s">
        <v>17</v>
      </c>
      <c r="M20" s="6">
        <f t="shared" si="0"/>
        <v>7.1232876712328766E-2</v>
      </c>
      <c r="N20" s="14" t="s">
        <v>25</v>
      </c>
      <c r="O20" s="12" t="s">
        <v>23</v>
      </c>
      <c r="P20" s="14">
        <f t="shared" si="1"/>
        <v>7.1232876712328766E-2</v>
      </c>
    </row>
    <row r="21" spans="1:17" hidden="1" x14ac:dyDescent="0.25">
      <c r="A21" s="3">
        <v>4</v>
      </c>
      <c r="B21" s="3">
        <v>80</v>
      </c>
      <c r="C21" s="3">
        <v>80</v>
      </c>
      <c r="D21" s="4">
        <v>0</v>
      </c>
      <c r="E21" s="5">
        <v>45784</v>
      </c>
      <c r="F21" s="4" t="s">
        <v>12</v>
      </c>
      <c r="G21" s="5">
        <v>45785</v>
      </c>
      <c r="H21" s="5">
        <v>45786</v>
      </c>
      <c r="I21" s="11">
        <v>45786</v>
      </c>
      <c r="J21" s="4">
        <v>1</v>
      </c>
      <c r="K21" s="4">
        <f t="shared" si="2"/>
        <v>1</v>
      </c>
      <c r="L21" s="4" t="s">
        <v>17</v>
      </c>
      <c r="M21" s="6">
        <f t="shared" si="0"/>
        <v>2.1917808219178082E-2</v>
      </c>
      <c r="N21" s="14" t="s">
        <v>25</v>
      </c>
      <c r="O21" s="12" t="s">
        <v>23</v>
      </c>
      <c r="P21" s="14">
        <f t="shared" si="1"/>
        <v>2.1917808219178082E-2</v>
      </c>
    </row>
    <row r="22" spans="1:17" hidden="1" x14ac:dyDescent="0.25">
      <c r="A22" s="3">
        <v>8231</v>
      </c>
      <c r="B22" s="3">
        <v>223895</v>
      </c>
      <c r="C22" s="3">
        <v>223945</v>
      </c>
      <c r="D22" s="4">
        <v>-50</v>
      </c>
      <c r="E22" s="5">
        <v>45793</v>
      </c>
      <c r="F22" s="4" t="s">
        <v>9</v>
      </c>
      <c r="G22" s="5">
        <v>45794</v>
      </c>
      <c r="H22" s="5">
        <v>45796</v>
      </c>
      <c r="I22" s="11">
        <v>45796</v>
      </c>
      <c r="J22" s="4">
        <v>2</v>
      </c>
      <c r="K22" s="4">
        <v>0</v>
      </c>
      <c r="L22" s="4" t="s">
        <v>15</v>
      </c>
      <c r="M22" s="6">
        <f t="shared" si="0"/>
        <v>122.7095890410959</v>
      </c>
      <c r="N22" s="12" t="s">
        <v>20</v>
      </c>
      <c r="O22" s="12" t="s">
        <v>20</v>
      </c>
      <c r="P22" s="14">
        <f t="shared" si="1"/>
        <v>0</v>
      </c>
    </row>
    <row r="23" spans="1:17" hidden="1" x14ac:dyDescent="0.25">
      <c r="A23" s="3">
        <v>2</v>
      </c>
      <c r="B23" s="3">
        <v>80</v>
      </c>
      <c r="C23" s="3">
        <v>80</v>
      </c>
      <c r="D23" s="4">
        <v>0</v>
      </c>
      <c r="E23" s="5">
        <v>45793</v>
      </c>
      <c r="F23" s="4" t="s">
        <v>9</v>
      </c>
      <c r="G23" s="5">
        <v>45794</v>
      </c>
      <c r="H23" s="5">
        <v>45796</v>
      </c>
      <c r="I23" s="11">
        <v>45796</v>
      </c>
      <c r="J23" s="4">
        <v>2</v>
      </c>
      <c r="K23" s="4">
        <v>0</v>
      </c>
      <c r="L23" s="4" t="s">
        <v>17</v>
      </c>
      <c r="M23" s="6">
        <f t="shared" si="0"/>
        <v>4.3835616438356165E-2</v>
      </c>
      <c r="N23" s="12" t="s">
        <v>20</v>
      </c>
      <c r="O23" s="12" t="s">
        <v>20</v>
      </c>
      <c r="P23" s="14">
        <f t="shared" si="1"/>
        <v>0</v>
      </c>
    </row>
    <row r="24" spans="1:17" hidden="1" x14ac:dyDescent="0.25">
      <c r="A24" s="3">
        <v>8266</v>
      </c>
      <c r="B24" s="3">
        <v>230435</v>
      </c>
      <c r="C24" s="3">
        <v>230435</v>
      </c>
      <c r="D24" s="4">
        <v>0</v>
      </c>
      <c r="E24" s="5">
        <v>45800</v>
      </c>
      <c r="F24" s="4" t="s">
        <v>9</v>
      </c>
      <c r="G24" s="5">
        <v>45801</v>
      </c>
      <c r="H24" s="5">
        <v>45804</v>
      </c>
      <c r="I24" s="11">
        <v>45804</v>
      </c>
      <c r="J24" s="4">
        <v>3</v>
      </c>
      <c r="K24" s="4">
        <v>0</v>
      </c>
      <c r="L24" s="4" t="s">
        <v>15</v>
      </c>
      <c r="M24" s="6">
        <f t="shared" si="0"/>
        <v>189.3986301369863</v>
      </c>
      <c r="N24" s="12" t="s">
        <v>22</v>
      </c>
      <c r="O24" s="12" t="s">
        <v>22</v>
      </c>
      <c r="P24" s="14">
        <f t="shared" si="1"/>
        <v>0</v>
      </c>
    </row>
    <row r="25" spans="1:17" hidden="1" x14ac:dyDescent="0.25">
      <c r="A25" s="3">
        <v>2</v>
      </c>
      <c r="B25" s="3">
        <v>3127</v>
      </c>
      <c r="C25" s="3">
        <v>3127</v>
      </c>
      <c r="D25" s="4">
        <v>0</v>
      </c>
      <c r="E25" s="5">
        <v>45800</v>
      </c>
      <c r="F25" s="4" t="s">
        <v>9</v>
      </c>
      <c r="G25" s="5">
        <v>45801</v>
      </c>
      <c r="H25" s="5">
        <v>45804</v>
      </c>
      <c r="I25" s="11">
        <v>45804</v>
      </c>
      <c r="J25" s="4">
        <v>3</v>
      </c>
      <c r="K25" s="4">
        <v>0</v>
      </c>
      <c r="L25" s="4" t="s">
        <v>14</v>
      </c>
      <c r="M25" s="6">
        <f t="shared" si="0"/>
        <v>2.5701369863013701</v>
      </c>
      <c r="N25" s="12" t="s">
        <v>22</v>
      </c>
      <c r="O25" s="12" t="s">
        <v>22</v>
      </c>
      <c r="P25" s="14">
        <f t="shared" si="1"/>
        <v>0</v>
      </c>
    </row>
    <row r="26" spans="1:17" hidden="1" x14ac:dyDescent="0.25">
      <c r="A26" s="3">
        <v>3</v>
      </c>
      <c r="B26" s="3">
        <v>120</v>
      </c>
      <c r="C26" s="3">
        <v>120</v>
      </c>
      <c r="D26" s="4">
        <v>0</v>
      </c>
      <c r="E26" s="5">
        <v>45800</v>
      </c>
      <c r="F26" s="4" t="s">
        <v>9</v>
      </c>
      <c r="G26" s="5">
        <v>45801</v>
      </c>
      <c r="H26" s="5">
        <v>45804</v>
      </c>
      <c r="I26" s="11">
        <v>45804</v>
      </c>
      <c r="J26" s="4">
        <v>3</v>
      </c>
      <c r="K26" s="4">
        <v>0</v>
      </c>
      <c r="L26" s="4" t="s">
        <v>17</v>
      </c>
      <c r="M26" s="6">
        <f t="shared" si="0"/>
        <v>9.8630136986301353E-2</v>
      </c>
      <c r="N26" s="12" t="s">
        <v>22</v>
      </c>
      <c r="O26" s="12" t="s">
        <v>22</v>
      </c>
      <c r="P26" s="14">
        <f t="shared" si="1"/>
        <v>0</v>
      </c>
    </row>
    <row r="27" spans="1:17" hidden="1" x14ac:dyDescent="0.25">
      <c r="A27" s="3">
        <v>7749</v>
      </c>
      <c r="B27" s="3">
        <v>239464</v>
      </c>
      <c r="C27" s="3">
        <v>239464</v>
      </c>
      <c r="D27" s="4">
        <v>0</v>
      </c>
      <c r="E27" s="5">
        <v>45813</v>
      </c>
      <c r="F27" s="4" t="s">
        <v>11</v>
      </c>
      <c r="G27" s="5">
        <v>45814</v>
      </c>
      <c r="H27" s="5">
        <v>45817</v>
      </c>
      <c r="I27" s="11">
        <v>45817</v>
      </c>
      <c r="J27" s="4">
        <v>3</v>
      </c>
      <c r="K27" s="4">
        <v>1</v>
      </c>
      <c r="L27" s="4" t="s">
        <v>15</v>
      </c>
      <c r="M27" s="6">
        <f>C27*0.1/365*J27</f>
        <v>196.81972602739728</v>
      </c>
      <c r="N27" s="14" t="s">
        <v>25</v>
      </c>
      <c r="O27" s="12" t="s">
        <v>26</v>
      </c>
      <c r="P27" s="14">
        <f t="shared" si="1"/>
        <v>65.60657534246576</v>
      </c>
      <c r="Q27" s="13"/>
    </row>
    <row r="28" spans="1:17" hidden="1" x14ac:dyDescent="0.25">
      <c r="A28" s="3">
        <v>1</v>
      </c>
      <c r="B28" s="3">
        <v>230</v>
      </c>
      <c r="C28" s="3">
        <v>230</v>
      </c>
      <c r="D28" s="4">
        <v>0</v>
      </c>
      <c r="E28" s="5">
        <v>45813</v>
      </c>
      <c r="F28" s="4" t="s">
        <v>11</v>
      </c>
      <c r="G28" s="5">
        <v>45814</v>
      </c>
      <c r="H28" s="5">
        <v>45817</v>
      </c>
      <c r="I28" s="11">
        <v>45817</v>
      </c>
      <c r="J28" s="4">
        <v>3</v>
      </c>
      <c r="K28" s="4">
        <v>1</v>
      </c>
      <c r="L28" s="4" t="s">
        <v>14</v>
      </c>
      <c r="M28" s="6">
        <f t="shared" si="0"/>
        <v>0.18904109589041096</v>
      </c>
      <c r="N28" s="14" t="s">
        <v>25</v>
      </c>
      <c r="O28" s="12" t="s">
        <v>26</v>
      </c>
      <c r="P28" s="14">
        <f t="shared" si="1"/>
        <v>6.3013698630136991E-2</v>
      </c>
      <c r="Q28" s="13"/>
    </row>
    <row r="29" spans="1:17" hidden="1" x14ac:dyDescent="0.25">
      <c r="A29" s="3">
        <v>8</v>
      </c>
      <c r="B29" s="3">
        <v>170</v>
      </c>
      <c r="C29" s="3">
        <v>170</v>
      </c>
      <c r="D29" s="4">
        <v>0</v>
      </c>
      <c r="E29" s="5">
        <v>45813</v>
      </c>
      <c r="F29" s="4" t="s">
        <v>11</v>
      </c>
      <c r="G29" s="5">
        <v>45814</v>
      </c>
      <c r="H29" s="5">
        <v>45817</v>
      </c>
      <c r="I29" s="11">
        <v>45817</v>
      </c>
      <c r="J29" s="4">
        <v>3</v>
      </c>
      <c r="K29" s="4">
        <v>1</v>
      </c>
      <c r="L29" s="4" t="s">
        <v>17</v>
      </c>
      <c r="M29" s="6">
        <f t="shared" si="0"/>
        <v>0.13972602739726028</v>
      </c>
      <c r="N29" s="14" t="s">
        <v>25</v>
      </c>
      <c r="O29" s="12" t="s">
        <v>26</v>
      </c>
      <c r="P29" s="14">
        <f t="shared" si="1"/>
        <v>4.6575342465753428E-2</v>
      </c>
      <c r="Q29" s="13"/>
    </row>
    <row r="30" spans="1:17" hidden="1" x14ac:dyDescent="0.25">
      <c r="A30" s="3">
        <v>8598</v>
      </c>
      <c r="B30" s="3">
        <v>255270</v>
      </c>
      <c r="C30" s="3">
        <v>255270</v>
      </c>
      <c r="D30" s="4">
        <v>0</v>
      </c>
      <c r="E30" s="5">
        <v>45821</v>
      </c>
      <c r="F30" s="4" t="s">
        <v>9</v>
      </c>
      <c r="G30" s="5">
        <v>45822</v>
      </c>
      <c r="H30" s="5">
        <v>45824</v>
      </c>
      <c r="I30" s="11">
        <v>45824</v>
      </c>
      <c r="J30" s="4">
        <v>2</v>
      </c>
      <c r="K30" s="4">
        <v>0</v>
      </c>
      <c r="L30" s="4" t="s">
        <v>15</v>
      </c>
      <c r="M30" s="6">
        <f t="shared" si="0"/>
        <v>139.87397260273971</v>
      </c>
      <c r="N30" s="12" t="s">
        <v>20</v>
      </c>
      <c r="O30" s="12" t="s">
        <v>20</v>
      </c>
      <c r="P30" s="14">
        <f t="shared" si="1"/>
        <v>0</v>
      </c>
    </row>
    <row r="31" spans="1:17" hidden="1" x14ac:dyDescent="0.25">
      <c r="A31" s="3">
        <v>2</v>
      </c>
      <c r="B31" s="3">
        <v>40</v>
      </c>
      <c r="C31" s="3">
        <v>40</v>
      </c>
      <c r="D31" s="4">
        <v>0</v>
      </c>
      <c r="E31" s="5">
        <v>45821</v>
      </c>
      <c r="F31" s="4" t="s">
        <v>9</v>
      </c>
      <c r="G31" s="5">
        <v>45822</v>
      </c>
      <c r="H31" s="5">
        <v>45824</v>
      </c>
      <c r="I31" s="11">
        <v>45824</v>
      </c>
      <c r="J31" s="4">
        <v>2</v>
      </c>
      <c r="K31" s="4">
        <v>0</v>
      </c>
      <c r="L31" s="4" t="s">
        <v>17</v>
      </c>
      <c r="M31" s="6">
        <f t="shared" si="0"/>
        <v>2.1917808219178082E-2</v>
      </c>
      <c r="N31" s="12" t="s">
        <v>20</v>
      </c>
      <c r="O31" s="12" t="s">
        <v>20</v>
      </c>
      <c r="P31" s="14">
        <f t="shared" si="1"/>
        <v>0</v>
      </c>
    </row>
    <row r="32" spans="1:17" hidden="1" x14ac:dyDescent="0.25">
      <c r="A32" s="3">
        <v>7676</v>
      </c>
      <c r="B32" s="3">
        <v>224373</v>
      </c>
      <c r="C32" s="3">
        <v>224373</v>
      </c>
      <c r="D32" s="4">
        <v>0</v>
      </c>
      <c r="E32" s="5">
        <v>45827</v>
      </c>
      <c r="F32" s="4" t="s">
        <v>11</v>
      </c>
      <c r="G32" s="5">
        <v>45828</v>
      </c>
      <c r="H32" s="5">
        <v>45829</v>
      </c>
      <c r="I32" s="11">
        <v>45829</v>
      </c>
      <c r="J32" s="4">
        <v>1</v>
      </c>
      <c r="K32" s="4">
        <f t="shared" si="2"/>
        <v>1</v>
      </c>
      <c r="L32" s="4" t="s">
        <v>15</v>
      </c>
      <c r="M32" s="6">
        <f t="shared" si="0"/>
        <v>61.472054794520552</v>
      </c>
      <c r="N32" s="14" t="s">
        <v>25</v>
      </c>
      <c r="O32" s="12" t="s">
        <v>26</v>
      </c>
      <c r="P32" s="14">
        <f t="shared" si="1"/>
        <v>61.472054794520552</v>
      </c>
      <c r="Q32" s="13"/>
    </row>
    <row r="33" spans="1:16" hidden="1" x14ac:dyDescent="0.25">
      <c r="A33" s="3">
        <v>8350</v>
      </c>
      <c r="B33" s="3">
        <v>232420</v>
      </c>
      <c r="C33" s="3">
        <v>232420</v>
      </c>
      <c r="D33" s="4">
        <v>0</v>
      </c>
      <c r="E33" s="5">
        <v>45828</v>
      </c>
      <c r="F33" s="4" t="s">
        <v>9</v>
      </c>
      <c r="G33" s="5">
        <v>45829</v>
      </c>
      <c r="H33" s="5">
        <v>45831</v>
      </c>
      <c r="I33" s="11">
        <v>45831</v>
      </c>
      <c r="J33" s="4">
        <v>2</v>
      </c>
      <c r="K33" s="4">
        <v>0</v>
      </c>
      <c r="L33" s="4" t="s">
        <v>15</v>
      </c>
      <c r="M33" s="6">
        <f t="shared" si="0"/>
        <v>127.35342465753425</v>
      </c>
      <c r="N33" s="12" t="s">
        <v>20</v>
      </c>
      <c r="O33" s="12" t="s">
        <v>20</v>
      </c>
      <c r="P33" s="14">
        <f t="shared" si="1"/>
        <v>0</v>
      </c>
    </row>
    <row r="34" spans="1:16" hidden="1" x14ac:dyDescent="0.25">
      <c r="A34" s="3">
        <v>2</v>
      </c>
      <c r="B34" s="3">
        <v>205</v>
      </c>
      <c r="C34" s="3">
        <v>205</v>
      </c>
      <c r="D34" s="4">
        <v>0</v>
      </c>
      <c r="E34" s="5">
        <v>45828</v>
      </c>
      <c r="F34" s="4" t="s">
        <v>9</v>
      </c>
      <c r="G34" s="5">
        <v>45829</v>
      </c>
      <c r="H34" s="5">
        <v>45831</v>
      </c>
      <c r="I34" s="11">
        <v>45831</v>
      </c>
      <c r="J34" s="4">
        <v>2</v>
      </c>
      <c r="K34" s="4">
        <v>0</v>
      </c>
      <c r="L34" s="4" t="s">
        <v>14</v>
      </c>
      <c r="M34" s="6">
        <f t="shared" si="0"/>
        <v>0.11232876712328767</v>
      </c>
      <c r="N34" s="12" t="s">
        <v>20</v>
      </c>
      <c r="O34" s="12" t="s">
        <v>20</v>
      </c>
      <c r="P34" s="14">
        <f t="shared" si="1"/>
        <v>0</v>
      </c>
    </row>
    <row r="35" spans="1:16" hidden="1" x14ac:dyDescent="0.25">
      <c r="A35" s="3">
        <v>1</v>
      </c>
      <c r="B35" s="3">
        <v>5</v>
      </c>
      <c r="C35" s="3">
        <v>5</v>
      </c>
      <c r="D35" s="4">
        <v>0</v>
      </c>
      <c r="E35" s="5">
        <v>45828</v>
      </c>
      <c r="F35" s="4" t="s">
        <v>9</v>
      </c>
      <c r="G35" s="5">
        <v>45829</v>
      </c>
      <c r="H35" s="8">
        <v>45831</v>
      </c>
      <c r="I35" s="11">
        <v>45831</v>
      </c>
      <c r="J35" s="4">
        <v>2</v>
      </c>
      <c r="K35" s="4">
        <v>0</v>
      </c>
      <c r="L35" s="4" t="s">
        <v>17</v>
      </c>
      <c r="M35" s="6">
        <f t="shared" si="0"/>
        <v>2.7397260273972603E-3</v>
      </c>
      <c r="N35" s="12" t="s">
        <v>20</v>
      </c>
      <c r="O35" s="12" t="s">
        <v>20</v>
      </c>
      <c r="P35" s="14">
        <f t="shared" si="1"/>
        <v>0</v>
      </c>
    </row>
    <row r="36" spans="1:16" hidden="1" x14ac:dyDescent="0.25">
      <c r="A36" s="3">
        <v>9395</v>
      </c>
      <c r="B36" s="3">
        <v>252520</v>
      </c>
      <c r="C36" s="3">
        <v>252520</v>
      </c>
      <c r="D36" s="4">
        <v>0</v>
      </c>
      <c r="E36" s="5">
        <v>45835</v>
      </c>
      <c r="F36" s="4" t="s">
        <v>9</v>
      </c>
      <c r="G36" s="5">
        <v>45836</v>
      </c>
      <c r="H36" s="5">
        <v>45838</v>
      </c>
      <c r="I36" s="11">
        <v>45838</v>
      </c>
      <c r="J36" s="4">
        <v>2</v>
      </c>
      <c r="K36" s="4">
        <v>0</v>
      </c>
      <c r="L36" s="4" t="s">
        <v>15</v>
      </c>
      <c r="M36" s="6">
        <f t="shared" si="0"/>
        <v>138.36712328767123</v>
      </c>
      <c r="N36" s="12" t="s">
        <v>20</v>
      </c>
      <c r="O36" s="12" t="s">
        <v>20</v>
      </c>
      <c r="P36" s="14">
        <f t="shared" si="1"/>
        <v>0</v>
      </c>
    </row>
    <row r="37" spans="1:16" hidden="1" x14ac:dyDescent="0.25">
      <c r="A37" s="3">
        <v>2</v>
      </c>
      <c r="B37" s="3">
        <v>530</v>
      </c>
      <c r="C37" s="3">
        <v>530</v>
      </c>
      <c r="D37" s="4">
        <v>0</v>
      </c>
      <c r="E37" s="5">
        <v>45835</v>
      </c>
      <c r="F37" s="4" t="s">
        <v>9</v>
      </c>
      <c r="G37" s="5">
        <v>45836</v>
      </c>
      <c r="H37" s="5">
        <v>45838</v>
      </c>
      <c r="I37" s="11">
        <v>45838</v>
      </c>
      <c r="J37" s="4">
        <v>2</v>
      </c>
      <c r="K37" s="4">
        <v>0</v>
      </c>
      <c r="L37" s="4" t="s">
        <v>14</v>
      </c>
      <c r="M37" s="6">
        <f t="shared" si="0"/>
        <v>0.29041095890410956</v>
      </c>
      <c r="N37" s="12" t="s">
        <v>20</v>
      </c>
      <c r="O37" s="12" t="s">
        <v>20</v>
      </c>
      <c r="P37" s="14">
        <f t="shared" si="1"/>
        <v>0</v>
      </c>
    </row>
    <row r="38" spans="1:16" hidden="1" x14ac:dyDescent="0.25">
      <c r="A38" s="3">
        <v>3</v>
      </c>
      <c r="B38" s="3">
        <v>100</v>
      </c>
      <c r="C38" s="3">
        <v>100</v>
      </c>
      <c r="D38" s="4">
        <v>0</v>
      </c>
      <c r="E38" s="5">
        <v>45835</v>
      </c>
      <c r="F38" s="4" t="s">
        <v>9</v>
      </c>
      <c r="G38" s="5">
        <v>45836</v>
      </c>
      <c r="H38" s="5">
        <v>45838</v>
      </c>
      <c r="I38" s="11">
        <v>45838</v>
      </c>
      <c r="J38" s="4">
        <v>2</v>
      </c>
      <c r="K38" s="4">
        <v>0</v>
      </c>
      <c r="L38" s="4" t="s">
        <v>17</v>
      </c>
      <c r="M38" s="6">
        <f t="shared" si="0"/>
        <v>5.4794520547945202E-2</v>
      </c>
      <c r="N38" s="12" t="s">
        <v>20</v>
      </c>
      <c r="O38" s="12" t="s">
        <v>20</v>
      </c>
      <c r="P38" s="14">
        <f t="shared" si="1"/>
        <v>0</v>
      </c>
    </row>
    <row r="39" spans="1:16" x14ac:dyDescent="0.25">
      <c r="A39" s="3">
        <v>8296</v>
      </c>
      <c r="B39" s="3">
        <v>214670</v>
      </c>
      <c r="C39" s="3">
        <v>214670</v>
      </c>
      <c r="D39" s="4">
        <v>0</v>
      </c>
      <c r="E39" s="5">
        <v>45868</v>
      </c>
      <c r="F39" s="4" t="s">
        <v>12</v>
      </c>
      <c r="G39" s="5">
        <v>45869</v>
      </c>
      <c r="H39" s="5">
        <v>45870</v>
      </c>
      <c r="I39" s="11">
        <v>45870</v>
      </c>
      <c r="J39" s="4">
        <v>1</v>
      </c>
      <c r="K39" s="4">
        <f t="shared" si="2"/>
        <v>1</v>
      </c>
      <c r="L39" s="4" t="s">
        <v>15</v>
      </c>
      <c r="M39" s="6">
        <f t="shared" si="0"/>
        <v>58.813698630136983</v>
      </c>
      <c r="N39" s="14" t="s">
        <v>31</v>
      </c>
      <c r="O39" s="4"/>
      <c r="P39" s="14">
        <f t="shared" si="1"/>
        <v>58.813698630136983</v>
      </c>
    </row>
    <row r="40" spans="1:16" x14ac:dyDescent="0.25">
      <c r="A40" s="3">
        <v>4</v>
      </c>
      <c r="B40" s="3">
        <v>70</v>
      </c>
      <c r="C40" s="3">
        <v>70</v>
      </c>
      <c r="D40" s="4">
        <v>0</v>
      </c>
      <c r="E40" s="5">
        <v>45868</v>
      </c>
      <c r="F40" s="4" t="s">
        <v>12</v>
      </c>
      <c r="G40" s="5">
        <v>45869</v>
      </c>
      <c r="H40" s="5">
        <v>45870</v>
      </c>
      <c r="I40" s="11">
        <v>45870</v>
      </c>
      <c r="J40" s="4">
        <v>1</v>
      </c>
      <c r="K40" s="4">
        <f t="shared" si="2"/>
        <v>1</v>
      </c>
      <c r="L40" s="4" t="s">
        <v>17</v>
      </c>
      <c r="M40" s="6">
        <f t="shared" si="0"/>
        <v>1.9178082191780823E-2</v>
      </c>
      <c r="N40" s="14" t="s">
        <v>31</v>
      </c>
      <c r="O40" s="4"/>
      <c r="P40" s="14">
        <f t="shared" si="1"/>
        <v>1.9178082191780823E-2</v>
      </c>
    </row>
    <row r="41" spans="1:16" x14ac:dyDescent="0.25">
      <c r="A41" s="3">
        <v>9313</v>
      </c>
      <c r="B41" s="3">
        <v>301045</v>
      </c>
      <c r="C41" s="3">
        <v>301045</v>
      </c>
      <c r="D41" s="4">
        <v>0</v>
      </c>
      <c r="E41" s="5">
        <v>45870</v>
      </c>
      <c r="F41" s="4" t="s">
        <v>9</v>
      </c>
      <c r="G41" s="5">
        <v>45871</v>
      </c>
      <c r="H41" s="5">
        <v>45874</v>
      </c>
      <c r="I41" s="11">
        <v>45874</v>
      </c>
      <c r="J41" s="4">
        <v>3</v>
      </c>
      <c r="K41" s="4">
        <v>1</v>
      </c>
      <c r="L41" s="4" t="s">
        <v>15</v>
      </c>
      <c r="M41" s="6">
        <f t="shared" si="0"/>
        <v>247.43424657534248</v>
      </c>
      <c r="N41" s="14" t="s">
        <v>31</v>
      </c>
      <c r="O41" s="4"/>
      <c r="P41" s="14">
        <f t="shared" si="1"/>
        <v>82.478082191780828</v>
      </c>
    </row>
    <row r="42" spans="1:16" hidden="1" x14ac:dyDescent="0.25">
      <c r="A42" s="3">
        <v>9900</v>
      </c>
      <c r="B42" s="3">
        <v>288935</v>
      </c>
      <c r="C42" s="3">
        <v>288935</v>
      </c>
      <c r="D42" s="4">
        <v>0</v>
      </c>
      <c r="E42" s="5">
        <v>45877</v>
      </c>
      <c r="F42" s="4" t="s">
        <v>9</v>
      </c>
      <c r="G42" s="5">
        <v>45878</v>
      </c>
      <c r="H42" s="5">
        <v>45880</v>
      </c>
      <c r="I42" s="11">
        <v>45880</v>
      </c>
      <c r="J42" s="4">
        <v>2</v>
      </c>
      <c r="K42" s="4">
        <v>0</v>
      </c>
      <c r="L42" s="4" t="s">
        <v>15</v>
      </c>
      <c r="M42" s="6">
        <f t="shared" si="0"/>
        <v>158.32054794520548</v>
      </c>
      <c r="N42" s="12" t="s">
        <v>20</v>
      </c>
      <c r="O42" s="12" t="s">
        <v>20</v>
      </c>
      <c r="P42" s="14">
        <f t="shared" si="1"/>
        <v>0</v>
      </c>
    </row>
    <row r="43" spans="1:16" hidden="1" x14ac:dyDescent="0.25">
      <c r="A43" s="3">
        <v>8891</v>
      </c>
      <c r="B43" s="3">
        <v>241595</v>
      </c>
      <c r="C43" s="3">
        <v>241595</v>
      </c>
      <c r="D43" s="4">
        <v>0</v>
      </c>
      <c r="E43" s="5">
        <v>45891</v>
      </c>
      <c r="F43" s="4" t="s">
        <v>9</v>
      </c>
      <c r="G43" s="5">
        <v>45892</v>
      </c>
      <c r="H43" s="5">
        <v>45894</v>
      </c>
      <c r="I43" s="11">
        <v>45894</v>
      </c>
      <c r="J43" s="4">
        <v>2</v>
      </c>
      <c r="K43" s="4">
        <v>0</v>
      </c>
      <c r="L43" s="4" t="s">
        <v>15</v>
      </c>
      <c r="M43" s="6">
        <f t="shared" si="0"/>
        <v>132.38082191780822</v>
      </c>
      <c r="N43" s="12" t="s">
        <v>20</v>
      </c>
      <c r="O43" s="12" t="s">
        <v>20</v>
      </c>
      <c r="P43" s="14">
        <f t="shared" si="1"/>
        <v>0</v>
      </c>
    </row>
    <row r="44" spans="1:16" hidden="1" x14ac:dyDescent="0.25">
      <c r="A44" s="3">
        <v>9800</v>
      </c>
      <c r="B44" s="3">
        <v>260705</v>
      </c>
      <c r="C44" s="3">
        <v>260705</v>
      </c>
      <c r="D44" s="4">
        <v>0</v>
      </c>
      <c r="E44" s="5">
        <v>45898</v>
      </c>
      <c r="F44" s="4" t="s">
        <v>9</v>
      </c>
      <c r="G44" s="5">
        <v>45899</v>
      </c>
      <c r="H44" s="5">
        <v>45901</v>
      </c>
      <c r="I44" s="11">
        <v>45901</v>
      </c>
      <c r="J44" s="4">
        <v>2</v>
      </c>
      <c r="K44" s="4">
        <v>0</v>
      </c>
      <c r="L44" s="4" t="s">
        <v>15</v>
      </c>
      <c r="M44" s="6">
        <f t="shared" si="0"/>
        <v>142.85205479452054</v>
      </c>
      <c r="N44" s="12" t="s">
        <v>20</v>
      </c>
      <c r="O44" s="12" t="s">
        <v>20</v>
      </c>
      <c r="P44" s="14">
        <f t="shared" si="1"/>
        <v>0</v>
      </c>
    </row>
    <row r="45" spans="1:16" hidden="1" x14ac:dyDescent="0.25">
      <c r="A45" s="3">
        <v>34</v>
      </c>
      <c r="B45" s="3">
        <v>1187</v>
      </c>
      <c r="C45" s="3">
        <v>1187</v>
      </c>
      <c r="D45" s="4">
        <v>0</v>
      </c>
      <c r="E45" s="5">
        <v>45898</v>
      </c>
      <c r="F45" s="4" t="s">
        <v>9</v>
      </c>
      <c r="G45" s="5">
        <v>45899</v>
      </c>
      <c r="H45" s="5">
        <v>45901</v>
      </c>
      <c r="I45" s="11">
        <v>45901</v>
      </c>
      <c r="J45" s="4">
        <v>2</v>
      </c>
      <c r="K45" s="4">
        <v>0</v>
      </c>
      <c r="L45" s="4" t="s">
        <v>17</v>
      </c>
      <c r="M45" s="6">
        <f t="shared" si="0"/>
        <v>0.6504109589041096</v>
      </c>
      <c r="N45" s="12" t="s">
        <v>20</v>
      </c>
      <c r="O45" s="12" t="s">
        <v>20</v>
      </c>
      <c r="P45" s="14">
        <f t="shared" si="1"/>
        <v>0</v>
      </c>
    </row>
    <row r="46" spans="1:16" x14ac:dyDescent="0.2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9">
        <f>SUM(M2:M45)</f>
        <v>2244.6312328767121</v>
      </c>
      <c r="N46" s="9"/>
      <c r="O46" s="4"/>
      <c r="P46" s="9">
        <f>SUM(P2:P45)</f>
        <v>507.82136986301373</v>
      </c>
    </row>
  </sheetData>
  <autoFilter ref="A1:P46" xr:uid="{00000000-0001-0000-0000-000000000000}">
    <filterColumn colId="13">
      <filters blank="1"/>
    </filterColumn>
  </autoFilter>
  <sortState xmlns:xlrd2="http://schemas.microsoft.com/office/spreadsheetml/2017/richdata2" ref="A2:L45">
    <sortCondition ref="E2:E45"/>
  </sortState>
  <pageMargins left="0.7" right="0.7" top="0.75" bottom="0.75" header="0.3" footer="0.3"/>
  <customProperties>
    <customPr name="QAA_DRILLPATH_NODE_ID" r:id="rId2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WorkbookDrillPathInfo xmlns:xsi="http://www.w3.org/2001/XMLSchema-instance" xmlns:xsd="http://www.w3.org/2001/XMLSchema" xmlns="http://www.infor.com/qaa/DrillPath">
  <CurrentDrillPath>
    <DrillPathNode AnalysisType="NONE" Id="3675300c-ba8a-425a-84ba-9a40f776b32d" Name="Sheet1">
      <Children/>
    </DrillPathNode>
  </CurrentDrillPath>
  <SavedDrillPath/>
</WorkbookDrillPathInfo>
</file>

<file path=customXml/itemProps1.xml><?xml version="1.0" encoding="utf-8"?>
<ds:datastoreItem xmlns:ds="http://schemas.openxmlformats.org/officeDocument/2006/customXml" ds:itemID="{A26374D8-8E99-465B-A59A-1EF4EB7E4E31}">
  <ds:schemaRefs>
    <ds:schemaRef ds:uri="http://www.w3.org/2001/XMLSchema"/>
    <ds:schemaRef ds:uri="http://www.infor.com/qaa/DrillPath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Kelvin Seta</dc:creator>
  <cp:lastModifiedBy>Tinashe Shumba</cp:lastModifiedBy>
  <dcterms:created xsi:type="dcterms:W3CDTF">2025-09-22T08:35:27Z</dcterms:created>
  <dcterms:modified xsi:type="dcterms:W3CDTF">2025-09-23T13:29:51Z</dcterms:modified>
</cp:coreProperties>
</file>