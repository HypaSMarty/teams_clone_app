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pivotTables/pivotTable1.xml" ContentType="application/vnd.openxmlformats-officedocument.spreadsheetml.pivotTable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humba\Documents\Work Documents\"/>
    </mc:Choice>
  </mc:AlternateContent>
  <xr:revisionPtr revIDLastSave="0" documentId="8_{7155C54B-268C-4BCB-84E5-D68E336E4AC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1" r:id="rId1"/>
    <sheet name="Recommended for Recovery" sheetId="3" r:id="rId2"/>
    <sheet name="Recommended for Investigations" sheetId="2" r:id="rId3"/>
    <sheet name="Recommended-Updates" sheetId="4" state="hidden" r:id="rId4"/>
  </sheets>
  <definedNames>
    <definedName name="_xlnm._FilterDatabase" localSheetId="2" hidden="1">'Recommended for Investigations'!$A$1:$E$1</definedName>
    <definedName name="_xlnm._FilterDatabase" localSheetId="1" hidden="1">'Recommended for Recovery'!$A$1:$J$121</definedName>
    <definedName name="_xlnm._FilterDatabase" localSheetId="3" hidden="1">'Recommended-Updates'!$A$1:$F$1</definedName>
    <definedName name="_xlnm._FilterDatabase" localSheetId="0" hidden="1">Summary!$A$3:$B$9</definedName>
    <definedName name="_xlnm.Print_Area" localSheetId="2">'Recommended for Investigations'!$A$1:$E$11</definedName>
    <definedName name="_xlnm.Print_Area" localSheetId="1">'Recommended for Recovery'!$A$1:$H$121</definedName>
    <definedName name="_xlnm.Print_Area" localSheetId="3">'Recommended-Updates'!$A$1:$F$10</definedName>
    <definedName name="_xlnm.Print_Area" localSheetId="0">Summary!$A$1:$B$9</definedName>
    <definedName name="_xlnm.Print_Titles" localSheetId="2">'Recommended for Investigations'!$1:$1</definedName>
    <definedName name="_xlnm.Print_Titles" localSheetId="1">'Recommended for Recovery'!$1:$1</definedName>
    <definedName name="_xlnm.Print_Titles" localSheetId="3">'Recommended-Updates'!$1:$1</definedName>
  </definedNames>
  <calcPr calcId="191029"/>
  <pivotCaches>
    <pivotCache cacheId="1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3" i="3" l="1"/>
  <c r="G81" i="3"/>
  <c r="G80" i="3"/>
  <c r="G79" i="3"/>
  <c r="G78" i="3" l="1"/>
  <c r="F63" i="3"/>
  <c r="B5" i="1" l="1"/>
  <c r="D6" i="2" l="1"/>
  <c r="B9" i="1" l="1"/>
  <c r="D16" i="2"/>
  <c r="E6" i="4"/>
  <c r="E10" i="4" l="1"/>
  <c r="D10" i="4" l="1"/>
  <c r="E63" i="3" l="1"/>
  <c r="E121" i="3" s="1"/>
  <c r="B4" i="1" l="1"/>
  <c r="B6" i="1" s="1"/>
</calcChain>
</file>

<file path=xl/sharedStrings.xml><?xml version="1.0" encoding="utf-8"?>
<sst xmlns="http://schemas.openxmlformats.org/spreadsheetml/2006/main" count="838" uniqueCount="98">
  <si>
    <t>Station Name</t>
  </si>
  <si>
    <t>Quarter Reported</t>
  </si>
  <si>
    <t>Kafulafuta</t>
  </si>
  <si>
    <t>Action Date</t>
  </si>
  <si>
    <t>Action Proposed by Management</t>
  </si>
  <si>
    <t>Kazungula</t>
  </si>
  <si>
    <t>Manyumbi</t>
  </si>
  <si>
    <t>Katuba</t>
  </si>
  <si>
    <t>Shimabala</t>
  </si>
  <si>
    <t>Livingstone Weighbridge</t>
  </si>
  <si>
    <t>Chembe</t>
  </si>
  <si>
    <t>Kalense</t>
  </si>
  <si>
    <t>Chongwe</t>
  </si>
  <si>
    <t>Kakonde</t>
  </si>
  <si>
    <t>Kateshi</t>
  </si>
  <si>
    <t>MCS</t>
  </si>
  <si>
    <t>Mumbwa</t>
  </si>
  <si>
    <t>Humphrey Mulemba</t>
  </si>
  <si>
    <t>Daniel Munkombwe</t>
  </si>
  <si>
    <t>Lui</t>
  </si>
  <si>
    <t>Mweeke</t>
  </si>
  <si>
    <t>Tapo</t>
  </si>
  <si>
    <t>Q1 2020</t>
  </si>
  <si>
    <t>Q3 2020</t>
  </si>
  <si>
    <t>Chilonga</t>
  </si>
  <si>
    <t>Q2 2020</t>
  </si>
  <si>
    <t>Recommended for deduction through payroll</t>
  </si>
  <si>
    <t>Mpongwe</t>
  </si>
  <si>
    <t>Q4 2020</t>
  </si>
  <si>
    <t>Mibenge</t>
  </si>
  <si>
    <t>Ntoposhi</t>
  </si>
  <si>
    <t>Reported Inconsistencies (K)</t>
  </si>
  <si>
    <t>AGZ</t>
  </si>
  <si>
    <t>Q1 2021</t>
  </si>
  <si>
    <t>Q2 2021</t>
  </si>
  <si>
    <t>RCK</t>
  </si>
  <si>
    <t>George Kunda</t>
  </si>
  <si>
    <t>Q3 2021</t>
  </si>
  <si>
    <t>WMC</t>
  </si>
  <si>
    <t>Kebby Musokotwane</t>
  </si>
  <si>
    <t>Q4 2021</t>
  </si>
  <si>
    <t>Sabina</t>
  </si>
  <si>
    <t>Enock Kavindele</t>
  </si>
  <si>
    <t>Q1 2022</t>
  </si>
  <si>
    <t>Investigate &amp; apply appropriate remedial measures</t>
  </si>
  <si>
    <t>Management Action Required</t>
  </si>
  <si>
    <t>Total (K)</t>
  </si>
  <si>
    <t>Description</t>
  </si>
  <si>
    <t xml:space="preserve">Unrecovered amounts </t>
  </si>
  <si>
    <t>Recommended for investigations</t>
  </si>
  <si>
    <t>Tolling Operations</t>
  </si>
  <si>
    <t>Summary of Inconsistencies</t>
  </si>
  <si>
    <t>Q2 2022</t>
  </si>
  <si>
    <t xml:space="preserve">Toll Inconsistencies recoveries made through payroll </t>
  </si>
  <si>
    <t>Q3 2022</t>
  </si>
  <si>
    <t>Q4 2022</t>
  </si>
  <si>
    <t>Q1 2023</t>
  </si>
  <si>
    <t>Q3 2023</t>
  </si>
  <si>
    <t>Q2 2023</t>
  </si>
  <si>
    <t xml:space="preserve">Q2 2023 </t>
  </si>
  <si>
    <t>Q4 2023</t>
  </si>
  <si>
    <t>Q1 2024</t>
  </si>
  <si>
    <t xml:space="preserve">Q4 2023 </t>
  </si>
  <si>
    <t>Resolved in Q1 2024</t>
  </si>
  <si>
    <t xml:space="preserve">Resolved </t>
  </si>
  <si>
    <t>Q2 2024</t>
  </si>
  <si>
    <t>Status</t>
  </si>
  <si>
    <t>Comment</t>
  </si>
  <si>
    <t>Region</t>
  </si>
  <si>
    <t>Southern</t>
  </si>
  <si>
    <t>Northern</t>
  </si>
  <si>
    <t>Pending</t>
  </si>
  <si>
    <t>Q3 2024</t>
  </si>
  <si>
    <t>Central</t>
  </si>
  <si>
    <t>Western</t>
  </si>
  <si>
    <t>Eastern</t>
  </si>
  <si>
    <t>Q4 2024</t>
  </si>
  <si>
    <t>Copperbelt</t>
  </si>
  <si>
    <t>Lusaka</t>
  </si>
  <si>
    <t>Resolved in Q4 2024</t>
  </si>
  <si>
    <t>Q1 2025</t>
  </si>
  <si>
    <t>Luapula</t>
  </si>
  <si>
    <t>Q2 2025</t>
  </si>
  <si>
    <t>Resolved in Q1 2025</t>
  </si>
  <si>
    <t xml:space="preserve">Reovered in May 2025 Payroll </t>
  </si>
  <si>
    <t>Recovered</t>
  </si>
  <si>
    <t>Revovered</t>
  </si>
  <si>
    <t>Row Labels</t>
  </si>
  <si>
    <t>Grand Total</t>
  </si>
  <si>
    <t>Sum of Inconsistencies in toll charges (K)</t>
  </si>
  <si>
    <t>Money  depositd in the Nrfa account</t>
  </si>
  <si>
    <t xml:space="preserve">Reovered in June 2025 Payroll </t>
  </si>
  <si>
    <t>Recovered in March 2025</t>
  </si>
  <si>
    <t>Difference</t>
  </si>
  <si>
    <t>Amount Querried</t>
  </si>
  <si>
    <t>Inconsistencies in toll charges - deducted (K)</t>
  </si>
  <si>
    <t>K4,935 was deducted through payroll leaving K1,445 pending deduction</t>
  </si>
  <si>
    <t>K260 was deducted through payroll leaving K220 pending deduction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</si>
</sst>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;[Red]\(#,##0\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3" fontId="0" fillId="0" borderId="1" xfId="1" applyFont="1" applyBorder="1" applyAlignment="1">
      <alignment horizontal="center"/>
    </xf>
    <xf numFmtId="43" fontId="1" fillId="0" borderId="1" xfId="1" applyFont="1" applyBorder="1" applyAlignment="1">
      <alignment horizontal="center"/>
    </xf>
    <xf numFmtId="0" fontId="0" fillId="0" borderId="0" xfId="0" applyAlignment="1">
      <alignment horizontal="left"/>
    </xf>
    <xf numFmtId="43" fontId="0" fillId="0" borderId="0" xfId="1" applyFont="1" applyBorder="1" applyAlignment="1">
      <alignment horizontal="center"/>
    </xf>
    <xf numFmtId="0" fontId="2" fillId="0" borderId="0" xfId="0" applyFont="1" applyAlignment="1">
      <alignment horizontal="left"/>
    </xf>
    <xf numFmtId="43" fontId="2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43" fontId="2" fillId="0" borderId="2" xfId="1" applyFont="1" applyBorder="1" applyAlignment="1">
      <alignment horizontal="center"/>
    </xf>
    <xf numFmtId="43" fontId="0" fillId="0" borderId="0" xfId="0" applyNumberFormat="1" applyAlignment="1">
      <alignment horizontal="center"/>
    </xf>
    <xf numFmtId="0" fontId="0" fillId="3" borderId="0" xfId="0" applyFill="1" applyAlignment="1">
      <alignment horizontal="left"/>
    </xf>
    <xf numFmtId="43" fontId="0" fillId="3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3" fontId="2" fillId="0" borderId="1" xfId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0" fillId="0" borderId="0" xfId="0" applyAlignment="1">
      <alignment vertical="center"/>
    </xf>
    <xf numFmtId="4" fontId="5" fillId="0" borderId="0" xfId="0" applyNumberFormat="1" applyFont="1" applyAlignment="1">
      <alignment vertical="center"/>
    </xf>
    <xf numFmtId="43" fontId="1" fillId="0" borderId="1" xfId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43" fontId="0" fillId="0" borderId="0" xfId="1" applyFont="1" applyAlignment="1">
      <alignment vertical="center"/>
    </xf>
    <xf numFmtId="43" fontId="0" fillId="0" borderId="1" xfId="1" applyFont="1" applyFill="1" applyBorder="1" applyAlignment="1">
      <alignment horizontal="center" vertical="center"/>
    </xf>
    <xf numFmtId="43" fontId="0" fillId="0" borderId="0" xfId="1" applyFont="1" applyAlignment="1"/>
    <xf numFmtId="0" fontId="0" fillId="0" borderId="1" xfId="0" applyBorder="1"/>
    <xf numFmtId="0" fontId="6" fillId="4" borderId="1" xfId="0" applyFont="1" applyFill="1" applyBorder="1" applyAlignment="1">
      <alignment horizontal="center"/>
    </xf>
    <xf numFmtId="43" fontId="6" fillId="4" borderId="1" xfId="1" applyFont="1" applyFill="1" applyBorder="1" applyAlignment="1">
      <alignment horizontal="center" wrapText="1"/>
    </xf>
    <xf numFmtId="43" fontId="0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43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164" fontId="0" fillId="0" borderId="1" xfId="1" applyNumberFormat="1" applyFont="1" applyBorder="1" applyAlignment="1">
      <alignment horizontal="right" vertical="center"/>
    </xf>
    <xf numFmtId="164" fontId="0" fillId="0" borderId="1" xfId="1" applyNumberFormat="1" applyFont="1" applyFill="1" applyBorder="1" applyAlignment="1">
      <alignment horizontal="right" vertical="center"/>
    </xf>
    <xf numFmtId="164" fontId="0" fillId="0" borderId="0" xfId="1" applyNumberFormat="1" applyFont="1" applyAlignment="1">
      <alignment horizontal="right" vertical="center"/>
    </xf>
    <xf numFmtId="0" fontId="6" fillId="4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43" fontId="0" fillId="0" borderId="3" xfId="0" applyNumberFormat="1" applyBorder="1" applyAlignment="1">
      <alignment horizontal="center"/>
    </xf>
    <xf numFmtId="164" fontId="5" fillId="0" borderId="1" xfId="0" applyNumberFormat="1" applyFont="1" applyBorder="1" applyAlignment="1">
      <alignment horizontal="right" vertical="center"/>
    </xf>
    <xf numFmtId="164" fontId="1" fillId="0" borderId="1" xfId="1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0" fillId="0" borderId="0" xfId="0" pivotButton="1"/>
    <xf numFmtId="4" fontId="0" fillId="0" borderId="0" xfId="0" applyNumberFormat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/>
    <xf numFmtId="0" fontId="4" fillId="2" borderId="0" xfId="0" applyFont="1" applyFill="1" applyAlignment="1">
      <alignment horizontal="center" wrapText="1"/>
    </xf>
    <xf numFmtId="0" fontId="7" fillId="0" borderId="1" xfId="0" applyFont="1" applyBorder="1" applyAlignment="1">
      <alignment horizontal="left"/>
    </xf>
    <xf numFmtId="43" fontId="7" fillId="0" borderId="1" xfId="1" applyFont="1" applyBorder="1" applyAlignment="1">
      <alignment horizontal="center"/>
    </xf>
    <xf numFmtId="0" fontId="7" fillId="0" borderId="3" xfId="0" applyFont="1" applyBorder="1"/>
  </cellXfs>
  <cellStyles count="2">
    <cellStyle name="Comma" xfId="1" builtinId="3"/>
    <cellStyle name="Normal" xfId="0" builtinId="0"/>
  </cellStyles>
  <dxfs count="3"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hias zulu" refreshedDate="45881.500963194441" createdVersion="8" refreshedVersion="8" minRefreshableVersion="3" recordCount="119" xr:uid="{49363FAA-F5F0-4E21-BFA1-D89F38114F2C}">
  <cacheSource type="worksheet">
    <worksheetSource ref="A1:J120" sheet="Recommended for Recovery"/>
  </cacheSource>
  <cacheFields count="8">
    <cacheField name="Station Name" numFmtId="0">
      <sharedItems/>
    </cacheField>
    <cacheField name="Region" numFmtId="0">
      <sharedItems/>
    </cacheField>
    <cacheField name="Quarter Reported" numFmtId="0">
      <sharedItems/>
    </cacheField>
    <cacheField name="Action Date" numFmtId="0">
      <sharedItems/>
    </cacheField>
    <cacheField name="Inconsistencies in toll charges (K)" numFmtId="43">
      <sharedItems containsSemiMixedTypes="0" containsString="0" containsNumber="1" containsInteger="1" minValue="20" maxValue="231840"/>
    </cacheField>
    <cacheField name="Action Proposed by Management" numFmtId="0">
      <sharedItems/>
    </cacheField>
    <cacheField name="Status" numFmtId="0">
      <sharedItems containsBlank="1" count="3">
        <s v="Pending"/>
        <s v="Recovered"/>
        <m u="1"/>
      </sharedItems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">
  <r>
    <s v="Chilonga"/>
    <s v="Northern"/>
    <s v="Q1 2020"/>
    <s v="Q2 2020"/>
    <n v="2735"/>
    <s v="Recommended for deduction through payroll"/>
    <x v="0"/>
    <m/>
  </r>
  <r>
    <s v="Daniel Munkombwe"/>
    <s v="Southern"/>
    <s v="Q1 2020"/>
    <s v="Q2 2020"/>
    <n v="2190"/>
    <s v="Recommended for deduction through payroll"/>
    <x v="0"/>
    <m/>
  </r>
  <r>
    <s v="Katuba"/>
    <s v="Southern"/>
    <s v="Q1 2020"/>
    <s v="Q2 2020"/>
    <n v="17610"/>
    <s v="Recommended for deduction through payroll"/>
    <x v="1"/>
    <m/>
  </r>
  <r>
    <s v="Manyumbi"/>
    <s v="Southern"/>
    <s v="Q1 2020"/>
    <s v="Q2 2020"/>
    <n v="3650"/>
    <s v="Recommended for deduction through payroll"/>
    <x v="1"/>
    <m/>
  </r>
  <r>
    <s v="Mumbwa"/>
    <s v="Southern"/>
    <s v="Q1 2020"/>
    <s v="Q2 2020"/>
    <n v="1510"/>
    <s v="Recommended for deduction through payroll"/>
    <x v="0"/>
    <m/>
  </r>
  <r>
    <s v="Chongwe"/>
    <s v="Southern"/>
    <s v="Q2 2020"/>
    <s v="Q3 2020"/>
    <n v="1190"/>
    <s v="Recommended for deduction through payroll"/>
    <x v="0"/>
    <m/>
  </r>
  <r>
    <s v="MCS"/>
    <s v="Northern"/>
    <s v="Q2 2020"/>
    <s v="Q3 2020"/>
    <n v="11270"/>
    <s v="Recommended for deduction through payroll"/>
    <x v="0"/>
    <m/>
  </r>
  <r>
    <s v="Mpongwe"/>
    <s v="Northern"/>
    <s v="Q2 2020"/>
    <s v="Q3 2020"/>
    <n v="11885"/>
    <s v="Recommended for deduction through payroll"/>
    <x v="0"/>
    <m/>
  </r>
  <r>
    <s v="Shimabala"/>
    <s v="Southern"/>
    <s v="Q2 2020"/>
    <s v="Q3 2020"/>
    <n v="13426"/>
    <s v="Recommended for deduction through payroll"/>
    <x v="0"/>
    <m/>
  </r>
  <r>
    <s v="Kazungula"/>
    <s v="Southern"/>
    <s v="Q2 2020"/>
    <s v="Q3 2020"/>
    <n v="8820"/>
    <s v="Recommended for deduction through payroll"/>
    <x v="0"/>
    <m/>
  </r>
  <r>
    <s v="Livingstone Weighbridge"/>
    <s v="Southern"/>
    <s v="Q2 2020"/>
    <s v="Q3 2020"/>
    <n v="15200"/>
    <s v="Recommended for deduction through payroll"/>
    <x v="0"/>
    <m/>
  </r>
  <r>
    <s v="Lui"/>
    <s v="Southern"/>
    <s v="Q2 2020"/>
    <s v="Q3 2020"/>
    <n v="1430"/>
    <s v="Recommended for deduction through payroll"/>
    <x v="0"/>
    <m/>
  </r>
  <r>
    <s v="Tapo"/>
    <s v="Southern"/>
    <s v="Q2 2020"/>
    <s v="Q3 2020"/>
    <n v="560"/>
    <s v="Recommended for deduction through payroll"/>
    <x v="0"/>
    <m/>
  </r>
  <r>
    <s v="Chembe"/>
    <s v="Northern"/>
    <s v="Q3 2020"/>
    <s v="Q4 2020"/>
    <n v="3633"/>
    <s v="Recommended for deduction through payroll"/>
    <x v="0"/>
    <m/>
  </r>
  <r>
    <s v="Enock Kavindele"/>
    <s v="Northern"/>
    <s v="Q3 2020"/>
    <s v="Q4 2020"/>
    <n v="800"/>
    <s v="Recommended for deduction through payroll"/>
    <x v="0"/>
    <m/>
  </r>
  <r>
    <s v="Humphrey Mulemba"/>
    <s v="Northern"/>
    <s v="Q3 2020"/>
    <s v="Q4 2020"/>
    <n v="1240"/>
    <s v="Recommended for deduction through payroll"/>
    <x v="0"/>
    <m/>
  </r>
  <r>
    <s v="Kalense"/>
    <s v="Northern"/>
    <s v="Q3 2020"/>
    <s v="Q4 2020"/>
    <n v="6170"/>
    <s v="Recommended for deduction through payroll"/>
    <x v="0"/>
    <m/>
  </r>
  <r>
    <s v="Kateshi"/>
    <s v="Northern"/>
    <s v="Q3 2020"/>
    <s v="Q4 2020"/>
    <n v="1870"/>
    <s v="Recommended for deduction through payroll"/>
    <x v="0"/>
    <m/>
  </r>
  <r>
    <s v="Mibenge"/>
    <s v="Northern"/>
    <s v="Q3 2020"/>
    <s v="Q4 2020"/>
    <n v="700"/>
    <s v="Recommended for deduction through payroll"/>
    <x v="0"/>
    <m/>
  </r>
  <r>
    <s v="Ntoposhi"/>
    <s v="Northern"/>
    <s v="Q3 2020"/>
    <s v="Q4 2020"/>
    <n v="2030"/>
    <s v="Recommended for deduction through payroll"/>
    <x v="0"/>
    <m/>
  </r>
  <r>
    <s v="Mweeke"/>
    <s v="Southern"/>
    <s v="Q2 2020"/>
    <s v="Q3 2020"/>
    <n v="1320"/>
    <s v="Recommended for deduction through payroll"/>
    <x v="0"/>
    <m/>
  </r>
  <r>
    <s v="Mumbwa"/>
    <s v="Southern"/>
    <s v="Q4 2020"/>
    <s v="Q1 2021"/>
    <n v="590"/>
    <s v="Recommended for deduction through payroll"/>
    <x v="0"/>
    <m/>
  </r>
  <r>
    <s v="RCK"/>
    <s v="Southern"/>
    <s v="Q4 2020"/>
    <s v="Q1 2021"/>
    <n v="320"/>
    <s v="Recommended for deduction through payroll"/>
    <x v="0"/>
    <m/>
  </r>
  <r>
    <s v="Daniel Munkombwe"/>
    <s v="Southern"/>
    <s v="Q4 2020"/>
    <s v="Q1 2021"/>
    <n v="1310"/>
    <s v="Recommended for deduction through payroll"/>
    <x v="0"/>
    <m/>
  </r>
  <r>
    <s v="Mpongwe"/>
    <s v="Northern"/>
    <s v="Q4 2020"/>
    <s v="Q1 2021"/>
    <n v="290"/>
    <s v="Recommended for deduction through payroll"/>
    <x v="0"/>
    <m/>
  </r>
  <r>
    <s v="RCK"/>
    <s v="Southern"/>
    <s v="Q4 2020"/>
    <s v="Q1 2021"/>
    <n v="490"/>
    <s v="Recommended for deduction through payroll"/>
    <x v="0"/>
    <m/>
  </r>
  <r>
    <s v="MCS"/>
    <s v="Northern"/>
    <s v="Q4 2020"/>
    <s v="Q1 2021"/>
    <n v="4115"/>
    <s v="Recommended for deduction through payroll"/>
    <x v="0"/>
    <m/>
  </r>
  <r>
    <s v="Shimabala"/>
    <s v="Southern"/>
    <s v="Q4 2020"/>
    <s v="Q1 2021"/>
    <n v="7350"/>
    <s v="Recommended for deduction through payroll"/>
    <x v="0"/>
    <m/>
  </r>
  <r>
    <s v="Manyumbi"/>
    <s v="Southern"/>
    <s v="Q4 2020"/>
    <s v="Q1 2021"/>
    <n v="1640"/>
    <s v="Recommended for deduction through payroll"/>
    <x v="1"/>
    <m/>
  </r>
  <r>
    <s v="Enock Kavindele"/>
    <s v="Northern"/>
    <s v="Q1 2021"/>
    <s v="Q2 2021"/>
    <n v="470"/>
    <s v="Recommended for deduction through payroll"/>
    <x v="0"/>
    <m/>
  </r>
  <r>
    <s v="George Kunda"/>
    <s v="Northern"/>
    <s v="Q1 2021"/>
    <s v="Q3 2021"/>
    <n v="2160"/>
    <s v="Recommended for deduction through payroll"/>
    <x v="0"/>
    <m/>
  </r>
  <r>
    <s v="Humphrey Mulemba"/>
    <s v="Northern"/>
    <s v="Q1 2021"/>
    <s v="Q2 2021"/>
    <n v="400"/>
    <s v="Recommended for deduction through payroll"/>
    <x v="0"/>
    <m/>
  </r>
  <r>
    <s v="WMC"/>
    <s v="Northern"/>
    <s v="Q1 2021"/>
    <s v="Q1 2022"/>
    <n v="209380"/>
    <s v="Recommended for deduction through payroll"/>
    <x v="0"/>
    <m/>
  </r>
  <r>
    <s v="Kebby Musokotwane"/>
    <s v="Southern"/>
    <s v="Q1 2021"/>
    <s v="Q2 2021"/>
    <n v="640"/>
    <s v="Recommended for deduction through payroll"/>
    <x v="0"/>
    <m/>
  </r>
  <r>
    <s v="Livingstone Weighbridge"/>
    <s v="Southern"/>
    <s v="Q1 2021"/>
    <s v="Q3 2021"/>
    <n v="400"/>
    <s v="Recommended for deduction through payroll"/>
    <x v="0"/>
    <m/>
  </r>
  <r>
    <s v="AGZ"/>
    <s v="Southern"/>
    <s v="Q2 2021"/>
    <s v="Q4 2021"/>
    <n v="250"/>
    <s v="Recommended for deduction through payroll"/>
    <x v="0"/>
    <m/>
  </r>
  <r>
    <s v="Chembe"/>
    <s v="Northern"/>
    <s v="Q2 2021"/>
    <s v="Q4 2021"/>
    <n v="550"/>
    <s v="Recommended for deduction through payroll"/>
    <x v="0"/>
    <m/>
  </r>
  <r>
    <s v="Chongwe"/>
    <s v="Southern"/>
    <s v="Q2 2021"/>
    <s v="Q4 2021"/>
    <n v="2910"/>
    <s v="Recommended for deduction through payroll"/>
    <x v="0"/>
    <m/>
  </r>
  <r>
    <s v="Daniel Munkombwe"/>
    <s v="Southern"/>
    <s v="Q2 2021"/>
    <s v="Q4 2021"/>
    <n v="550"/>
    <s v="Revovered"/>
    <x v="0"/>
    <s v="Reovered in May 2025 Payroll "/>
  </r>
  <r>
    <s v="Kakonde"/>
    <s v="Northern"/>
    <s v="Q2 2021"/>
    <s v="Q4 2021"/>
    <n v="1180"/>
    <s v="Recommended for deduction through payroll"/>
    <x v="0"/>
    <m/>
  </r>
  <r>
    <s v="Kalense"/>
    <s v="Northern"/>
    <s v="Q2 2021"/>
    <s v="Q4 2021"/>
    <n v="665"/>
    <s v="Recommended for deduction through payroll"/>
    <x v="0"/>
    <m/>
  </r>
  <r>
    <s v="Kateshi"/>
    <s v="Northern"/>
    <s v="Q2 2021"/>
    <s v="Q4 2021"/>
    <n v="110"/>
    <s v="Recommended for deduction through payroll"/>
    <x v="0"/>
    <m/>
  </r>
  <r>
    <s v="Mumbwa"/>
    <s v="Southern"/>
    <s v="Q2 2021"/>
    <s v="Q4 2021"/>
    <n v="220"/>
    <s v="Recommended for deduction through payroll"/>
    <x v="0"/>
    <m/>
  </r>
  <r>
    <s v="Ntoposhi"/>
    <s v="Northern"/>
    <s v="Q2 2021"/>
    <s v="Q4 2021"/>
    <n v="100"/>
    <s v="Recommended for deduction through payroll"/>
    <x v="0"/>
    <m/>
  </r>
  <r>
    <s v="RCK"/>
    <s v="Southern"/>
    <s v="Q2 2021"/>
    <s v="Q4 2021"/>
    <n v="220"/>
    <s v="Recommended for deduction through payroll"/>
    <x v="0"/>
    <m/>
  </r>
  <r>
    <s v="Sabina"/>
    <s v="Northern"/>
    <s v="Q2 2021"/>
    <s v="Q4 2021"/>
    <n v="1254"/>
    <s v="Recommended for deduction through payroll"/>
    <x v="0"/>
    <m/>
  </r>
  <r>
    <s v="Enock Kavindele"/>
    <s v="Northern"/>
    <s v="Q3 2021"/>
    <s v="Q4 2021"/>
    <n v="450"/>
    <s v="Recommended for deduction through payroll"/>
    <x v="0"/>
    <m/>
  </r>
  <r>
    <s v="Humphrey Mulemba"/>
    <s v="Northern"/>
    <s v="Q3 2021"/>
    <s v="Q4 2021"/>
    <n v="6050"/>
    <s v="Recommended for deduction through payroll"/>
    <x v="0"/>
    <m/>
  </r>
  <r>
    <s v="Manyumbi"/>
    <s v="Southern"/>
    <s v="Q3 2021"/>
    <s v="Q4 2021"/>
    <n v="650"/>
    <s v="Recommended for deduction through payroll"/>
    <x v="1"/>
    <m/>
  </r>
  <r>
    <s v="Mpongwe"/>
    <s v="Northern"/>
    <s v="Q3 2021"/>
    <s v="Q4 2021"/>
    <n v="1700"/>
    <s v="Recommended for deduction through payroll"/>
    <x v="0"/>
    <m/>
  </r>
  <r>
    <s v="Shimabala"/>
    <s v="Southern"/>
    <s v="Q3 2021"/>
    <s v="Q4 2021"/>
    <n v="8840"/>
    <s v="Recommended for deduction through payroll"/>
    <x v="0"/>
    <m/>
  </r>
  <r>
    <s v="MCS"/>
    <s v="Northern"/>
    <s v="Q3 2021"/>
    <s v="Q4 2021"/>
    <n v="7400"/>
    <s v="Recommended for deduction through payroll"/>
    <x v="0"/>
    <m/>
  </r>
  <r>
    <s v="Tolling Operations"/>
    <s v="Tolling Operations"/>
    <s v="Q3 2020"/>
    <s v="Q2 2022"/>
    <n v="128905"/>
    <s v="Recommended for deduction through payroll"/>
    <x v="0"/>
    <m/>
  </r>
  <r>
    <s v="Tolling Operations"/>
    <s v="Tolling Operations"/>
    <s v="Q4 2020"/>
    <s v="Q1 2022"/>
    <n v="20150"/>
    <s v="Recommended for deduction through payroll"/>
    <x v="0"/>
    <m/>
  </r>
  <r>
    <s v="Tolling Operations"/>
    <s v="Tolling Operations"/>
    <s v="Q3 2021"/>
    <s v="Q1 2022"/>
    <n v="34050"/>
    <s v="Recommended for deduction through payroll"/>
    <x v="0"/>
    <m/>
  </r>
  <r>
    <s v="RCK"/>
    <s v="Southern"/>
    <s v="Q1 2022"/>
    <s v="Q2 2022"/>
    <n v="280"/>
    <s v="Recommended for deduction through payroll"/>
    <x v="0"/>
    <m/>
  </r>
  <r>
    <s v="Chongwe"/>
    <s v="Southern"/>
    <s v="Q1 2022"/>
    <s v="Q2 2022"/>
    <n v="8035"/>
    <s v="Recommended for deduction through payroll"/>
    <x v="0"/>
    <m/>
  </r>
  <r>
    <s v="MCS"/>
    <s v="Northern"/>
    <s v="Q1 2022"/>
    <s v="Q2 2022"/>
    <n v="3090"/>
    <s v="Recommended for deduction through payroll"/>
    <x v="0"/>
    <m/>
  </r>
  <r>
    <s v="Sabina"/>
    <s v="Northern"/>
    <s v="Q1 2022"/>
    <s v="Q3 2022"/>
    <n v="1820"/>
    <s v="Recommended for deduction through payroll"/>
    <x v="0"/>
    <m/>
  </r>
  <r>
    <s v="Enock Kavindele"/>
    <s v="Northern"/>
    <s v="Q1 2022"/>
    <s v="Q2 2022"/>
    <n v="420"/>
    <s v="Recommended for deduction through payroll"/>
    <x v="0"/>
    <m/>
  </r>
  <r>
    <s v="Humphrey Mulemba"/>
    <s v="Northern"/>
    <s v="Q1 2022"/>
    <s v="Q2 2022"/>
    <n v="500"/>
    <s v="Recommended for deduction through payroll"/>
    <x v="0"/>
    <m/>
  </r>
  <r>
    <s v="Tolling Operations"/>
    <s v="Tolling Operations"/>
    <s v="Q1 2022"/>
    <s v="Q3 2022"/>
    <n v="193645"/>
    <s v="Recommended for deduction through payroll"/>
    <x v="0"/>
    <m/>
  </r>
  <r>
    <s v="Shimabala"/>
    <s v="Southern"/>
    <s v="Q1 2022"/>
    <s v="Q3 2022"/>
    <n v="22350"/>
    <s v="Recommended for deduction through payroll"/>
    <x v="0"/>
    <m/>
  </r>
  <r>
    <s v="Chilonga"/>
    <s v="Northern"/>
    <s v="Q2 2022"/>
    <s v="Q3 2022"/>
    <n v="380"/>
    <s v="Recommended for deduction through payroll"/>
    <x v="0"/>
    <m/>
  </r>
  <r>
    <s v="George Kunda"/>
    <s v="Northern"/>
    <s v="Q2 2022"/>
    <s v="Q3 2022"/>
    <n v="4940"/>
    <s v="Recommended for deduction through payroll"/>
    <x v="0"/>
    <m/>
  </r>
  <r>
    <s v="Kakonde"/>
    <s v="Northern"/>
    <s v="Q2 2022"/>
    <s v="Q3 2022"/>
    <n v="250"/>
    <s v="Recommended for deduction through payroll"/>
    <x v="0"/>
    <m/>
  </r>
  <r>
    <s v="Kateshi"/>
    <s v="Northern"/>
    <s v="Q2 2022"/>
    <s v="Q3 2022"/>
    <n v="110"/>
    <s v="Recommended for deduction through payroll"/>
    <x v="0"/>
    <m/>
  </r>
  <r>
    <s v="Kalense"/>
    <s v="Northern"/>
    <s v="Q2 2022"/>
    <s v="Q3 2022"/>
    <n v="60"/>
    <s v="Recommended for deduction through payroll"/>
    <x v="0"/>
    <m/>
  </r>
  <r>
    <s v="Mpongwe"/>
    <s v="Northern"/>
    <s v="Q2 2022"/>
    <s v="Q3 2022"/>
    <n v="75"/>
    <s v="Recommended for deduction through payroll"/>
    <x v="0"/>
    <m/>
  </r>
  <r>
    <s v="Mweeke"/>
    <s v="Southern"/>
    <s v="Q2 2022"/>
    <s v="Q3 2022"/>
    <n v="30"/>
    <s v="Recommended for deduction through payroll"/>
    <x v="0"/>
    <m/>
  </r>
  <r>
    <s v="Mumbwa"/>
    <s v="Southern"/>
    <s v="Q2 2022"/>
    <s v="Q3 2022"/>
    <n v="1807"/>
    <s v="Recommended for deduction through payroll"/>
    <x v="0"/>
    <m/>
  </r>
  <r>
    <s v="Daniel Munkombwe"/>
    <s v="Southern"/>
    <s v="Q2 2022"/>
    <s v="Q3 2022"/>
    <n v="2560"/>
    <s v="Recommended for deduction through payroll"/>
    <x v="0"/>
    <m/>
  </r>
  <r>
    <s v="WMC"/>
    <s v="Northern"/>
    <s v="Q1 2022"/>
    <s v="Q3 2022"/>
    <n v="2060"/>
    <s v="Recommended for deduction through payroll"/>
    <x v="0"/>
    <m/>
  </r>
  <r>
    <s v="Daniel Munkombwe"/>
    <s v="Southern"/>
    <s v="Q4 2022"/>
    <s v="Q1 2023"/>
    <n v="230"/>
    <s v="Recommended for deduction through payroll"/>
    <x v="0"/>
    <m/>
  </r>
  <r>
    <s v="Kakonde"/>
    <s v="Northern"/>
    <s v="Q4 2022"/>
    <s v="Q1 2023"/>
    <n v="430"/>
    <s v="Recommended for deduction through payroll"/>
    <x v="0"/>
    <m/>
  </r>
  <r>
    <s v="WMC"/>
    <s v="Northern"/>
    <s v="Q4 2022"/>
    <s v="Q1 2023"/>
    <n v="231840"/>
    <s v="Recommended for deduction through payroll"/>
    <x v="0"/>
    <m/>
  </r>
  <r>
    <s v="Chongwe"/>
    <s v="Southern"/>
    <s v="Q1 2023"/>
    <s v="Q2 2023"/>
    <n v="6380"/>
    <s v="Recommended for deduction through payroll"/>
    <x v="0"/>
    <m/>
  </r>
  <r>
    <s v="MCS"/>
    <s v="Northern"/>
    <s v="Q1 2023"/>
    <s v="Q2 2023"/>
    <n v="7990"/>
    <s v="Recommended for deduction through payroll"/>
    <x v="0"/>
    <m/>
  </r>
  <r>
    <s v="Ntoposhi"/>
    <s v="Northern"/>
    <s v="Q1 2023"/>
    <s v="Q2 2023"/>
    <n v="480"/>
    <s v="Recommended for deduction through payroll"/>
    <x v="0"/>
    <m/>
  </r>
  <r>
    <s v="Shimabala"/>
    <s v="Southern"/>
    <s v="Q1 2023"/>
    <s v="Q2 2023"/>
    <n v="16590"/>
    <s v="Recommended for deduction through payroll"/>
    <x v="0"/>
    <m/>
  </r>
  <r>
    <s v="Sabina"/>
    <s v="Northern"/>
    <s v="Q2 2023 "/>
    <s v="Q3 2023"/>
    <n v="240"/>
    <s v="Recommended for deduction through payroll"/>
    <x v="0"/>
    <m/>
  </r>
  <r>
    <s v="Tolling Operations"/>
    <s v="Tolling Operations"/>
    <s v="Q1 2023"/>
    <s v="Q3 2023"/>
    <n v="72265"/>
    <s v="Recommended for deduction through payroll"/>
    <x v="0"/>
    <m/>
  </r>
  <r>
    <s v="Enock Kavindele"/>
    <s v="Northern"/>
    <s v="Q3 2023"/>
    <s v="Q4 2023"/>
    <n v="1050"/>
    <s v="Recommended for deduction through payroll"/>
    <x v="0"/>
    <m/>
  </r>
  <r>
    <s v="George Kunda"/>
    <s v="Northern"/>
    <s v="Q3 2023"/>
    <s v="Q4 2023"/>
    <n v="20"/>
    <s v="Recommended for deduction through payroll"/>
    <x v="0"/>
    <m/>
  </r>
  <r>
    <s v="Shimabala"/>
    <s v="Southern"/>
    <s v="Q3 2023"/>
    <s v="Q4 2023"/>
    <n v="19702"/>
    <s v="Recommended for deduction through payroll"/>
    <x v="0"/>
    <m/>
  </r>
  <r>
    <s v="Manyumbi"/>
    <s v="Southern"/>
    <s v="Q3 2023"/>
    <s v="Q4 2023"/>
    <n v="860"/>
    <s v="Recommended for deduction through payroll"/>
    <x v="1"/>
    <m/>
  </r>
  <r>
    <s v="Mibenge"/>
    <s v="Northern"/>
    <s v="Q4 2023"/>
    <s v="Q1 2024"/>
    <n v="2270"/>
    <s v="Recommended for deduction through payroll"/>
    <x v="0"/>
    <m/>
  </r>
  <r>
    <s v="Chembe"/>
    <s v="Northern"/>
    <s v="Q4 2023"/>
    <s v="Q1 2024"/>
    <n v="140"/>
    <s v="Recommended for deduction through payroll"/>
    <x v="0"/>
    <m/>
  </r>
  <r>
    <s v="Kalense"/>
    <s v="Northern"/>
    <s v="Q4 2023"/>
    <s v="Q1 2024"/>
    <n v="80"/>
    <s v="Recommended for deduction through payroll"/>
    <x v="0"/>
    <m/>
  </r>
  <r>
    <s v="Ntoposhi"/>
    <s v="Northern"/>
    <s v="Q4 2023"/>
    <s v="Q1 2024"/>
    <n v="480"/>
    <s v="Recommended for deduction through payroll"/>
    <x v="0"/>
    <m/>
  </r>
  <r>
    <s v="WMC"/>
    <s v="Northern"/>
    <s v="Q4 2023"/>
    <s v="Q1 2024"/>
    <n v="99850"/>
    <s v="Recommended for deduction through payroll"/>
    <x v="0"/>
    <m/>
  </r>
  <r>
    <s v="Sabina"/>
    <s v="Northern"/>
    <s v="Q1 2024"/>
    <s v="Q2 2024"/>
    <n v="500"/>
    <s v="Recommended for deduction through payroll"/>
    <x v="0"/>
    <m/>
  </r>
  <r>
    <s v="Enock Kavindele"/>
    <s v="Northern"/>
    <s v="Q1 2024"/>
    <s v="Q2 2024"/>
    <n v="220"/>
    <s v="Recommended for deduction through payroll"/>
    <x v="0"/>
    <m/>
  </r>
  <r>
    <s v="Humphrey Mulemba"/>
    <s v="Northern"/>
    <s v="Q1 2024"/>
    <s v="Q2 2024"/>
    <n v="30"/>
    <s v="Recommended for deduction through payroll"/>
    <x v="0"/>
    <m/>
  </r>
  <r>
    <s v="MCS"/>
    <s v="Northern"/>
    <s v="Q1 2024"/>
    <s v="Q2 2024"/>
    <n v="1770"/>
    <s v="Recommended for deduction through payroll"/>
    <x v="0"/>
    <m/>
  </r>
  <r>
    <s v="Kafulafuta"/>
    <s v="Northern"/>
    <s v="Q1 2024"/>
    <s v="Q2 2024"/>
    <n v="1045"/>
    <s v="Recommended for deduction through payroll"/>
    <x v="1"/>
    <m/>
  </r>
  <r>
    <s v="George Kunda"/>
    <s v="Central"/>
    <s v="Q2 2024"/>
    <s v="Q3 2024"/>
    <n v="160"/>
    <s v="Recommended for deduction through payroll"/>
    <x v="0"/>
    <m/>
  </r>
  <r>
    <s v="Lui"/>
    <s v="Western"/>
    <s v="Q2 2024"/>
    <s v="Q3 2024"/>
    <n v="40"/>
    <s v="Recommended for deduction through payroll"/>
    <x v="0"/>
    <m/>
  </r>
  <r>
    <s v="RCK"/>
    <s v="Eastern"/>
    <s v="Q2 2024"/>
    <s v="Q3 2024"/>
    <n v="40"/>
    <s v="Recommended for deduction through payroll"/>
    <x v="0"/>
    <m/>
  </r>
  <r>
    <s v="Tapo"/>
    <s v="Western"/>
    <s v="Q2 2024"/>
    <s v="Q3 2024"/>
    <n v="20"/>
    <s v="Recommended for deduction through payroll"/>
    <x v="0"/>
    <m/>
  </r>
  <r>
    <s v="WMC"/>
    <s v="Copperbelt"/>
    <s v="Q3 2024"/>
    <s v="Q4 2024"/>
    <n v="10860"/>
    <s v="Recommended for deduction through payroll"/>
    <x v="0"/>
    <m/>
  </r>
  <r>
    <s v="Chongwe"/>
    <s v="Lusaka"/>
    <s v="Q3 2024"/>
    <s v="Q4 2024"/>
    <n v="2311"/>
    <s v="Recommended for deduction through payroll"/>
    <x v="0"/>
    <m/>
  </r>
  <r>
    <s v="Kafulafuta"/>
    <s v="Copperbelt"/>
    <s v="Q3 2024"/>
    <s v="Q4 2024"/>
    <n v="1350"/>
    <s v="Recommended for deduction through payroll"/>
    <x v="1"/>
    <m/>
  </r>
  <r>
    <s v="Katuba"/>
    <s v="Lusaka"/>
    <s v="Q3 2024"/>
    <s v="Q4 2024"/>
    <n v="70"/>
    <s v="Recommended for deduction through payroll"/>
    <x v="1"/>
    <m/>
  </r>
  <r>
    <s v="Manyumbi"/>
    <s v="Central"/>
    <s v="Q3 2024"/>
    <s v="Q4 2024"/>
    <n v="450"/>
    <s v="Recommended for deduction through payroll"/>
    <x v="1"/>
    <m/>
  </r>
  <r>
    <s v="MCS"/>
    <s v="Copperbelt"/>
    <s v="Q3 2024"/>
    <s v="Q4 2024"/>
    <n v="855"/>
    <s v="Recommended for deduction through payroll"/>
    <x v="0"/>
    <m/>
  </r>
  <r>
    <s v="Mumbwa"/>
    <s v="Central"/>
    <s v="Q3 2024"/>
    <s v="Q4 2024"/>
    <n v="470"/>
    <s v="Recommended for deduction through payroll"/>
    <x v="0"/>
    <m/>
  </r>
  <r>
    <s v="Shimabala"/>
    <s v="Lusaka"/>
    <s v="Q3 2024"/>
    <s v="Q4 2024"/>
    <n v="3988"/>
    <s v="Recommended for deduction through payroll"/>
    <x v="0"/>
    <m/>
  </r>
  <r>
    <s v="Tolling Operations"/>
    <s v="Lusaka"/>
    <s v="Q3 2024"/>
    <s v="Q4 2024"/>
    <n v="6645"/>
    <s v="Recommended for deduction through payroll"/>
    <x v="0"/>
    <m/>
  </r>
  <r>
    <s v="George Kunda"/>
    <s v="Central"/>
    <s v="Q4 2024"/>
    <s v="Q1 2025"/>
    <n v="110"/>
    <s v="Recommended for deduction through payroll"/>
    <x v="1"/>
    <s v="Recovered in March 2025"/>
  </r>
  <r>
    <s v="Mibenge"/>
    <s v="Luapula"/>
    <s v="Q4 2024"/>
    <s v="Q1 2025"/>
    <n v="805"/>
    <s v="Recommended for deduction through payroll"/>
    <x v="1"/>
    <s v="Recovered in March 2025"/>
  </r>
  <r>
    <s v="Ntoposhi"/>
    <s v="Luapula"/>
    <s v="Q4 2024"/>
    <s v="Q1 2025"/>
    <n v="170"/>
    <s v="Recommended for deduction through payroll"/>
    <x v="0"/>
    <s v="Pending"/>
  </r>
  <r>
    <s v="Mumbwa"/>
    <s v="Central"/>
    <s v="Q1 2025"/>
    <s v="Q2 2025"/>
    <n v="260"/>
    <s v="Recommended for deduction through payroll"/>
    <x v="1"/>
    <s v="Reovered in May 2025 Payroll "/>
  </r>
  <r>
    <s v="Chongwe"/>
    <s v="Lusaka"/>
    <s v="Q1 2025"/>
    <s v="Q2 2025"/>
    <n v="1620"/>
    <s v="Recommended for deduction through payroll"/>
    <x v="1"/>
    <s v="Reovered in May 2025 Payroll "/>
  </r>
  <r>
    <s v="WMC"/>
    <s v="Copperbelt"/>
    <s v="Q1 2025"/>
    <s v="Q2 2025"/>
    <n v="660"/>
    <s v="Recommended for deduction through payroll"/>
    <x v="1"/>
    <s v="Reovered in May 2025 Payroll "/>
  </r>
  <r>
    <s v="RCK"/>
    <s v="Eastern"/>
    <s v="Q1 2025"/>
    <s v="Q2 2025"/>
    <n v="20"/>
    <s v="Recommended for deduction through payroll"/>
    <x v="1"/>
    <s v="Reovered in May 2025 Payroll "/>
  </r>
  <r>
    <s v="MCS"/>
    <s v="Copperbelt"/>
    <s v="Q1 2025"/>
    <s v="Q2 2025"/>
    <n v="6605"/>
    <s v="Recommended for deduction through payroll"/>
    <x v="0"/>
    <s v="Pending"/>
  </r>
  <r>
    <s v="Kalense"/>
    <s v="Northern"/>
    <s v="Q1 2025"/>
    <s v="Q2 2025"/>
    <n v="2105"/>
    <s v="Recommended for deduction through payroll"/>
    <x v="1"/>
    <s v="Money  depositd in the Nrfa account"/>
  </r>
  <r>
    <s v="Kateshi"/>
    <s v="Northern"/>
    <s v="Q1 2025"/>
    <s v="Q2 2025"/>
    <n v="800"/>
    <s v="Recommended for deduction through payroll"/>
    <x v="1"/>
    <s v="Reovered in June 2025 Payroll 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BE7090-D04E-43C7-8358-18279F7F5884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3:B126" firstHeaderRow="1" firstDataRow="1" firstDataCol="1"/>
  <pivotFields count="8">
    <pivotField showAll="0"/>
    <pivotField showAll="0"/>
    <pivotField showAll="0"/>
    <pivotField showAll="0"/>
    <pivotField dataField="1" numFmtId="43" showAll="0"/>
    <pivotField showAll="0"/>
    <pivotField axis="axisRow" showAll="0">
      <items count="4">
        <item x="0"/>
        <item x="1"/>
        <item m="1" x="2"/>
        <item t="default"/>
      </items>
    </pivotField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Sum of Inconsistencies in toll charges (K)" fld="4" baseField="0" baseItem="0" numFmtId="4"/>
  </dataFields>
  <formats count="3">
    <format dxfId="2">
      <pivotArea collapsedLevelsAreSubtotals="1" fieldPosition="0">
        <references count="1">
          <reference field="6" count="0"/>
        </references>
      </pivotArea>
    </format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>
      <selection activeCell="A5" sqref="A5:XFD5"/>
    </sheetView>
  </sheetViews>
  <sheetFormatPr defaultColWidth="8.5703125" defaultRowHeight="15" x14ac:dyDescent="0.25"/>
  <cols>
    <col min="1" max="1" width="54.5703125" style="6" bestFit="1" customWidth="1"/>
    <col min="2" max="2" width="14.5703125" style="7" bestFit="1" customWidth="1"/>
    <col min="3" max="4" width="8.5703125" style="2"/>
    <col min="5" max="7" width="11.42578125" style="2" bestFit="1" customWidth="1"/>
    <col min="8" max="16384" width="8.5703125" style="2"/>
  </cols>
  <sheetData>
    <row r="1" spans="1:7" x14ac:dyDescent="0.25">
      <c r="A1" s="50" t="s">
        <v>51</v>
      </c>
      <c r="B1" s="50"/>
    </row>
    <row r="3" spans="1:7" s="1" customFormat="1" x14ac:dyDescent="0.25">
      <c r="A3" s="8" t="s">
        <v>47</v>
      </c>
      <c r="B3" s="9" t="s">
        <v>46</v>
      </c>
    </row>
    <row r="4" spans="1:7" x14ac:dyDescent="0.25">
      <c r="A4" s="6" t="s">
        <v>26</v>
      </c>
      <c r="B4" s="10">
        <f>'Recommended for Recovery'!E121</f>
        <v>1300621</v>
      </c>
    </row>
    <row r="5" spans="1:7" x14ac:dyDescent="0.25">
      <c r="A5" s="13" t="s">
        <v>53</v>
      </c>
      <c r="B5" s="14">
        <f>520580.38+37107+12362</f>
        <v>570049.38</v>
      </c>
      <c r="E5" s="12"/>
      <c r="F5" s="12"/>
    </row>
    <row r="6" spans="1:7" x14ac:dyDescent="0.25">
      <c r="A6" s="8" t="s">
        <v>48</v>
      </c>
      <c r="B6" s="11">
        <f>B4-B5</f>
        <v>730571.62</v>
      </c>
      <c r="G6" s="12"/>
    </row>
    <row r="8" spans="1:7" x14ac:dyDescent="0.25">
      <c r="B8" s="9" t="s">
        <v>46</v>
      </c>
    </row>
    <row r="9" spans="1:7" s="1" customFormat="1" x14ac:dyDescent="0.25">
      <c r="A9" s="8" t="s">
        <v>49</v>
      </c>
      <c r="B9" s="11">
        <f>'Recommended for Investigations'!D16</f>
        <v>2263537</v>
      </c>
    </row>
  </sheetData>
  <mergeCells count="1">
    <mergeCell ref="A1:B1"/>
  </mergeCells>
  <pageMargins left="0.70866141732283472" right="0.70866141732283472" top="0.74803149606299213" bottom="0.74803149606299213" header="0.31496062992125984" footer="0.31496062992125984"/>
  <pageSetup paperSize="9" orientation="portrait" r:id="rId1"/>
  <customProperties>
    <customPr name="QAA_DRILLPATH_NODE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K140"/>
  <sheetViews>
    <sheetView tabSelected="1" workbookViewId="0">
      <pane ySplit="1" topLeftCell="A2" activePane="bottomLeft" state="frozen"/>
      <selection pane="bottomLeft" activeCell="H130" sqref="H130"/>
    </sheetView>
  </sheetViews>
  <sheetFormatPr defaultColWidth="8.5703125" defaultRowHeight="15" x14ac:dyDescent="0.25"/>
  <cols>
    <col min="1" max="1" width="23.42578125" style="6" bestFit="1" customWidth="1"/>
    <col min="2" max="2" width="20.85546875" customWidth="1"/>
    <col min="3" max="3" width="21.5703125" bestFit="1" customWidth="1"/>
    <col min="4" max="4" width="16.42578125" bestFit="1" customWidth="1"/>
    <col min="5" max="5" width="33.7109375" style="26" customWidth="1"/>
    <col min="6" max="6" width="26.85546875" style="26" customWidth="1"/>
    <col min="7" max="7" width="15.140625" style="26" customWidth="1"/>
    <col min="8" max="8" width="41.85546875" bestFit="1" customWidth="1"/>
    <col min="9" max="9" width="11.7109375" bestFit="1" customWidth="1"/>
    <col min="10" max="10" width="68" customWidth="1"/>
    <col min="11" max="11" width="12.5703125" bestFit="1" customWidth="1"/>
  </cols>
  <sheetData>
    <row r="1" spans="1:10" s="1" customFormat="1" ht="30" x14ac:dyDescent="0.25">
      <c r="A1" s="31" t="s">
        <v>0</v>
      </c>
      <c r="B1" s="28" t="s">
        <v>68</v>
      </c>
      <c r="C1" s="28" t="s">
        <v>1</v>
      </c>
      <c r="D1" s="28" t="s">
        <v>3</v>
      </c>
      <c r="E1" s="29" t="s">
        <v>95</v>
      </c>
      <c r="F1" s="29" t="s">
        <v>94</v>
      </c>
      <c r="G1" s="29" t="s">
        <v>93</v>
      </c>
      <c r="H1" s="28" t="s">
        <v>4</v>
      </c>
      <c r="I1" s="28" t="s">
        <v>66</v>
      </c>
      <c r="J1" s="38" t="s">
        <v>67</v>
      </c>
    </row>
    <row r="2" spans="1:10" s="2" customFormat="1" hidden="1" x14ac:dyDescent="0.25">
      <c r="A2" s="32" t="s">
        <v>24</v>
      </c>
      <c r="B2" s="3" t="s">
        <v>70</v>
      </c>
      <c r="C2" s="3" t="s">
        <v>22</v>
      </c>
      <c r="D2" s="3" t="s">
        <v>25</v>
      </c>
      <c r="E2" s="4">
        <v>2735</v>
      </c>
      <c r="F2" s="4">
        <v>2735</v>
      </c>
      <c r="G2" s="4"/>
      <c r="H2" s="3" t="s">
        <v>26</v>
      </c>
      <c r="I2" s="3" t="s">
        <v>71</v>
      </c>
      <c r="J2" s="39"/>
    </row>
    <row r="3" spans="1:10" s="2" customFormat="1" hidden="1" x14ac:dyDescent="0.25">
      <c r="A3" s="32" t="s">
        <v>18</v>
      </c>
      <c r="B3" s="3" t="s">
        <v>69</v>
      </c>
      <c r="C3" s="3" t="s">
        <v>22</v>
      </c>
      <c r="D3" s="3" t="s">
        <v>25</v>
      </c>
      <c r="E3" s="4">
        <v>2190</v>
      </c>
      <c r="F3" s="4">
        <v>2190</v>
      </c>
      <c r="G3" s="4"/>
      <c r="H3" s="3" t="s">
        <v>26</v>
      </c>
      <c r="I3" s="3" t="s">
        <v>71</v>
      </c>
      <c r="J3" s="39"/>
    </row>
    <row r="4" spans="1:10" s="2" customFormat="1" hidden="1" x14ac:dyDescent="0.25">
      <c r="A4" s="32" t="s">
        <v>7</v>
      </c>
      <c r="B4" s="3" t="s">
        <v>69</v>
      </c>
      <c r="C4" s="3" t="s">
        <v>22</v>
      </c>
      <c r="D4" s="3" t="s">
        <v>25</v>
      </c>
      <c r="E4" s="4">
        <v>17610</v>
      </c>
      <c r="F4" s="4">
        <v>17610</v>
      </c>
      <c r="G4" s="4"/>
      <c r="H4" s="3" t="s">
        <v>26</v>
      </c>
      <c r="I4" s="3" t="s">
        <v>85</v>
      </c>
      <c r="J4" s="39"/>
    </row>
    <row r="5" spans="1:10" s="2" customFormat="1" hidden="1" x14ac:dyDescent="0.25">
      <c r="A5" s="32" t="s">
        <v>6</v>
      </c>
      <c r="B5" s="3" t="s">
        <v>69</v>
      </c>
      <c r="C5" s="3" t="s">
        <v>22</v>
      </c>
      <c r="D5" s="3" t="s">
        <v>25</v>
      </c>
      <c r="E5" s="4">
        <v>3650</v>
      </c>
      <c r="F5" s="4">
        <v>3650</v>
      </c>
      <c r="G5" s="4"/>
      <c r="H5" s="3" t="s">
        <v>26</v>
      </c>
      <c r="I5" s="3" t="s">
        <v>85</v>
      </c>
      <c r="J5" s="39"/>
    </row>
    <row r="6" spans="1:10" s="2" customFormat="1" hidden="1" x14ac:dyDescent="0.25">
      <c r="A6" s="32" t="s">
        <v>16</v>
      </c>
      <c r="B6" s="3" t="s">
        <v>69</v>
      </c>
      <c r="C6" s="3" t="s">
        <v>22</v>
      </c>
      <c r="D6" s="3" t="s">
        <v>25</v>
      </c>
      <c r="E6" s="4">
        <v>1510</v>
      </c>
      <c r="F6" s="4">
        <v>1510</v>
      </c>
      <c r="G6" s="4"/>
      <c r="H6" s="3" t="s">
        <v>26</v>
      </c>
      <c r="I6" s="3" t="s">
        <v>71</v>
      </c>
      <c r="J6" s="39"/>
    </row>
    <row r="7" spans="1:10" s="2" customFormat="1" hidden="1" x14ac:dyDescent="0.25">
      <c r="A7" s="32" t="s">
        <v>12</v>
      </c>
      <c r="B7" s="3" t="s">
        <v>69</v>
      </c>
      <c r="C7" s="3" t="s">
        <v>25</v>
      </c>
      <c r="D7" s="3" t="s">
        <v>23</v>
      </c>
      <c r="E7" s="4">
        <v>1190</v>
      </c>
      <c r="F7" s="4">
        <v>1190</v>
      </c>
      <c r="G7" s="4"/>
      <c r="H7" s="3" t="s">
        <v>26</v>
      </c>
      <c r="I7" s="3" t="s">
        <v>71</v>
      </c>
      <c r="J7" s="39"/>
    </row>
    <row r="8" spans="1:10" s="2" customFormat="1" hidden="1" x14ac:dyDescent="0.25">
      <c r="A8" s="32" t="s">
        <v>15</v>
      </c>
      <c r="B8" s="3" t="s">
        <v>70</v>
      </c>
      <c r="C8" s="3" t="s">
        <v>25</v>
      </c>
      <c r="D8" s="3" t="s">
        <v>23</v>
      </c>
      <c r="E8" s="4">
        <v>11270</v>
      </c>
      <c r="F8" s="4">
        <v>11270</v>
      </c>
      <c r="G8" s="4"/>
      <c r="H8" s="3" t="s">
        <v>26</v>
      </c>
      <c r="I8" s="3" t="s">
        <v>71</v>
      </c>
      <c r="J8" s="39"/>
    </row>
    <row r="9" spans="1:10" s="2" customFormat="1" hidden="1" x14ac:dyDescent="0.25">
      <c r="A9" s="32" t="s">
        <v>27</v>
      </c>
      <c r="B9" s="3" t="s">
        <v>70</v>
      </c>
      <c r="C9" s="3" t="s">
        <v>25</v>
      </c>
      <c r="D9" s="3" t="s">
        <v>23</v>
      </c>
      <c r="E9" s="4">
        <v>11885</v>
      </c>
      <c r="F9" s="4">
        <v>11885</v>
      </c>
      <c r="G9" s="4"/>
      <c r="H9" s="3" t="s">
        <v>26</v>
      </c>
      <c r="I9" s="3" t="s">
        <v>71</v>
      </c>
      <c r="J9" s="39"/>
    </row>
    <row r="10" spans="1:10" s="2" customFormat="1" hidden="1" x14ac:dyDescent="0.25">
      <c r="A10" s="32" t="s">
        <v>8</v>
      </c>
      <c r="B10" s="3" t="s">
        <v>69</v>
      </c>
      <c r="C10" s="3" t="s">
        <v>25</v>
      </c>
      <c r="D10" s="3" t="s">
        <v>23</v>
      </c>
      <c r="E10" s="4">
        <v>13426</v>
      </c>
      <c r="F10" s="4">
        <v>13426</v>
      </c>
      <c r="G10" s="4"/>
      <c r="H10" s="3" t="s">
        <v>26</v>
      </c>
      <c r="I10" s="3" t="s">
        <v>71</v>
      </c>
      <c r="J10" s="39"/>
    </row>
    <row r="11" spans="1:10" s="2" customFormat="1" hidden="1" x14ac:dyDescent="0.25">
      <c r="A11" s="32" t="s">
        <v>5</v>
      </c>
      <c r="B11" s="3" t="s">
        <v>69</v>
      </c>
      <c r="C11" s="3" t="s">
        <v>25</v>
      </c>
      <c r="D11" s="3" t="s">
        <v>23</v>
      </c>
      <c r="E11" s="4">
        <v>8820</v>
      </c>
      <c r="F11" s="4">
        <v>8820</v>
      </c>
      <c r="G11" s="4"/>
      <c r="H11" s="3" t="s">
        <v>26</v>
      </c>
      <c r="I11" s="3" t="s">
        <v>71</v>
      </c>
      <c r="J11" s="39"/>
    </row>
    <row r="12" spans="1:10" s="2" customFormat="1" hidden="1" x14ac:dyDescent="0.25">
      <c r="A12" s="32" t="s">
        <v>9</v>
      </c>
      <c r="B12" s="3" t="s">
        <v>69</v>
      </c>
      <c r="C12" s="3" t="s">
        <v>25</v>
      </c>
      <c r="D12" s="3" t="s">
        <v>23</v>
      </c>
      <c r="E12" s="4">
        <v>15200</v>
      </c>
      <c r="F12" s="4">
        <v>15200</v>
      </c>
      <c r="G12" s="4"/>
      <c r="H12" s="3" t="s">
        <v>26</v>
      </c>
      <c r="I12" s="3" t="s">
        <v>71</v>
      </c>
      <c r="J12" s="39"/>
    </row>
    <row r="13" spans="1:10" s="2" customFormat="1" hidden="1" x14ac:dyDescent="0.25">
      <c r="A13" s="32" t="s">
        <v>19</v>
      </c>
      <c r="B13" s="3" t="s">
        <v>69</v>
      </c>
      <c r="C13" s="3" t="s">
        <v>25</v>
      </c>
      <c r="D13" s="3" t="s">
        <v>23</v>
      </c>
      <c r="E13" s="4">
        <v>1430</v>
      </c>
      <c r="F13" s="4">
        <v>1430</v>
      </c>
      <c r="G13" s="4"/>
      <c r="H13" s="3" t="s">
        <v>26</v>
      </c>
      <c r="I13" s="3" t="s">
        <v>71</v>
      </c>
      <c r="J13" s="39"/>
    </row>
    <row r="14" spans="1:10" s="2" customFormat="1" hidden="1" x14ac:dyDescent="0.25">
      <c r="A14" s="32" t="s">
        <v>21</v>
      </c>
      <c r="B14" s="3" t="s">
        <v>69</v>
      </c>
      <c r="C14" s="3" t="s">
        <v>25</v>
      </c>
      <c r="D14" s="3" t="s">
        <v>23</v>
      </c>
      <c r="E14" s="4">
        <v>560</v>
      </c>
      <c r="F14" s="4">
        <v>560</v>
      </c>
      <c r="G14" s="4"/>
      <c r="H14" s="3" t="s">
        <v>26</v>
      </c>
      <c r="I14" s="3" t="s">
        <v>71</v>
      </c>
      <c r="J14" s="39"/>
    </row>
    <row r="15" spans="1:10" s="2" customFormat="1" hidden="1" x14ac:dyDescent="0.25">
      <c r="A15" s="32" t="s">
        <v>10</v>
      </c>
      <c r="B15" s="3" t="s">
        <v>70</v>
      </c>
      <c r="C15" s="3" t="s">
        <v>23</v>
      </c>
      <c r="D15" s="3" t="s">
        <v>28</v>
      </c>
      <c r="E15" s="4">
        <v>3633</v>
      </c>
      <c r="F15" s="4">
        <v>3633</v>
      </c>
      <c r="G15" s="4"/>
      <c r="H15" s="3" t="s">
        <v>26</v>
      </c>
      <c r="I15" s="3" t="s">
        <v>71</v>
      </c>
      <c r="J15" s="39"/>
    </row>
    <row r="16" spans="1:10" s="2" customFormat="1" hidden="1" x14ac:dyDescent="0.25">
      <c r="A16" s="32" t="s">
        <v>42</v>
      </c>
      <c r="B16" s="3" t="s">
        <v>70</v>
      </c>
      <c r="C16" s="3" t="s">
        <v>23</v>
      </c>
      <c r="D16" s="3" t="s">
        <v>28</v>
      </c>
      <c r="E16" s="4">
        <v>800</v>
      </c>
      <c r="F16" s="4">
        <v>800</v>
      </c>
      <c r="G16" s="4"/>
      <c r="H16" s="3" t="s">
        <v>26</v>
      </c>
      <c r="I16" s="3" t="s">
        <v>71</v>
      </c>
      <c r="J16" s="39"/>
    </row>
    <row r="17" spans="1:10" s="2" customFormat="1" hidden="1" x14ac:dyDescent="0.25">
      <c r="A17" s="32" t="s">
        <v>17</v>
      </c>
      <c r="B17" s="3" t="s">
        <v>70</v>
      </c>
      <c r="C17" s="3" t="s">
        <v>23</v>
      </c>
      <c r="D17" s="3" t="s">
        <v>28</v>
      </c>
      <c r="E17" s="4">
        <v>1240</v>
      </c>
      <c r="F17" s="4">
        <v>1240</v>
      </c>
      <c r="G17" s="4"/>
      <c r="H17" s="3" t="s">
        <v>26</v>
      </c>
      <c r="I17" s="3" t="s">
        <v>71</v>
      </c>
      <c r="J17" s="39"/>
    </row>
    <row r="18" spans="1:10" s="2" customFormat="1" hidden="1" x14ac:dyDescent="0.25">
      <c r="A18" s="32" t="s">
        <v>11</v>
      </c>
      <c r="B18" s="3" t="s">
        <v>70</v>
      </c>
      <c r="C18" s="3" t="s">
        <v>23</v>
      </c>
      <c r="D18" s="3" t="s">
        <v>28</v>
      </c>
      <c r="E18" s="4">
        <v>6170</v>
      </c>
      <c r="F18" s="4">
        <v>6170</v>
      </c>
      <c r="G18" s="4"/>
      <c r="H18" s="3" t="s">
        <v>26</v>
      </c>
      <c r="I18" s="3" t="s">
        <v>71</v>
      </c>
      <c r="J18" s="39"/>
    </row>
    <row r="19" spans="1:10" s="2" customFormat="1" hidden="1" x14ac:dyDescent="0.25">
      <c r="A19" s="32" t="s">
        <v>14</v>
      </c>
      <c r="B19" s="3" t="s">
        <v>70</v>
      </c>
      <c r="C19" s="3" t="s">
        <v>23</v>
      </c>
      <c r="D19" s="3" t="s">
        <v>28</v>
      </c>
      <c r="E19" s="4">
        <v>1870</v>
      </c>
      <c r="F19" s="4">
        <v>1870</v>
      </c>
      <c r="G19" s="4"/>
      <c r="H19" s="3" t="s">
        <v>26</v>
      </c>
      <c r="I19" s="3" t="s">
        <v>71</v>
      </c>
      <c r="J19" s="39"/>
    </row>
    <row r="20" spans="1:10" s="2" customFormat="1" hidden="1" x14ac:dyDescent="0.25">
      <c r="A20" s="32" t="s">
        <v>29</v>
      </c>
      <c r="B20" s="3" t="s">
        <v>70</v>
      </c>
      <c r="C20" s="3" t="s">
        <v>23</v>
      </c>
      <c r="D20" s="3" t="s">
        <v>28</v>
      </c>
      <c r="E20" s="4">
        <v>700</v>
      </c>
      <c r="F20" s="4">
        <v>700</v>
      </c>
      <c r="G20" s="4"/>
      <c r="H20" s="3" t="s">
        <v>26</v>
      </c>
      <c r="I20" s="3" t="s">
        <v>71</v>
      </c>
      <c r="J20" s="39"/>
    </row>
    <row r="21" spans="1:10" s="2" customFormat="1" hidden="1" x14ac:dyDescent="0.25">
      <c r="A21" s="32" t="s">
        <v>30</v>
      </c>
      <c r="B21" s="3" t="s">
        <v>70</v>
      </c>
      <c r="C21" s="3" t="s">
        <v>23</v>
      </c>
      <c r="D21" s="3" t="s">
        <v>28</v>
      </c>
      <c r="E21" s="4">
        <v>2030</v>
      </c>
      <c r="F21" s="4">
        <v>2030</v>
      </c>
      <c r="G21" s="4"/>
      <c r="H21" s="3" t="s">
        <v>26</v>
      </c>
      <c r="I21" s="3" t="s">
        <v>71</v>
      </c>
      <c r="J21" s="39"/>
    </row>
    <row r="22" spans="1:10" s="2" customFormat="1" hidden="1" x14ac:dyDescent="0.25">
      <c r="A22" s="32" t="s">
        <v>20</v>
      </c>
      <c r="B22" s="3" t="s">
        <v>69</v>
      </c>
      <c r="C22" s="3" t="s">
        <v>25</v>
      </c>
      <c r="D22" s="3" t="s">
        <v>23</v>
      </c>
      <c r="E22" s="4">
        <v>1320</v>
      </c>
      <c r="F22" s="4">
        <v>1320</v>
      </c>
      <c r="G22" s="4"/>
      <c r="H22" s="3" t="s">
        <v>26</v>
      </c>
      <c r="I22" s="3" t="s">
        <v>71</v>
      </c>
      <c r="J22" s="39"/>
    </row>
    <row r="23" spans="1:10" s="2" customFormat="1" hidden="1" x14ac:dyDescent="0.25">
      <c r="A23" s="32" t="s">
        <v>16</v>
      </c>
      <c r="B23" s="3" t="s">
        <v>69</v>
      </c>
      <c r="C23" s="3" t="s">
        <v>28</v>
      </c>
      <c r="D23" s="3" t="s">
        <v>33</v>
      </c>
      <c r="E23" s="4">
        <v>590</v>
      </c>
      <c r="F23" s="4">
        <v>590</v>
      </c>
      <c r="G23" s="4"/>
      <c r="H23" s="3" t="s">
        <v>26</v>
      </c>
      <c r="I23" s="3" t="s">
        <v>71</v>
      </c>
      <c r="J23" s="39"/>
    </row>
    <row r="24" spans="1:10" s="2" customFormat="1" hidden="1" x14ac:dyDescent="0.25">
      <c r="A24" s="32" t="s">
        <v>35</v>
      </c>
      <c r="B24" s="3" t="s">
        <v>69</v>
      </c>
      <c r="C24" s="3" t="s">
        <v>28</v>
      </c>
      <c r="D24" s="3" t="s">
        <v>33</v>
      </c>
      <c r="E24" s="4">
        <v>320</v>
      </c>
      <c r="F24" s="4">
        <v>320</v>
      </c>
      <c r="G24" s="4"/>
      <c r="H24" s="3" t="s">
        <v>26</v>
      </c>
      <c r="I24" s="3" t="s">
        <v>71</v>
      </c>
      <c r="J24" s="39"/>
    </row>
    <row r="25" spans="1:10" s="2" customFormat="1" hidden="1" x14ac:dyDescent="0.25">
      <c r="A25" s="32" t="s">
        <v>18</v>
      </c>
      <c r="B25" s="3" t="s">
        <v>69</v>
      </c>
      <c r="C25" s="3" t="s">
        <v>28</v>
      </c>
      <c r="D25" s="3" t="s">
        <v>33</v>
      </c>
      <c r="E25" s="4">
        <v>1310</v>
      </c>
      <c r="F25" s="4">
        <v>1310</v>
      </c>
      <c r="G25" s="4"/>
      <c r="H25" s="3" t="s">
        <v>26</v>
      </c>
      <c r="I25" s="3" t="s">
        <v>71</v>
      </c>
      <c r="J25" s="39"/>
    </row>
    <row r="26" spans="1:10" s="2" customFormat="1" hidden="1" x14ac:dyDescent="0.25">
      <c r="A26" s="32" t="s">
        <v>27</v>
      </c>
      <c r="B26" s="3" t="s">
        <v>70</v>
      </c>
      <c r="C26" s="3" t="s">
        <v>28</v>
      </c>
      <c r="D26" s="3" t="s">
        <v>33</v>
      </c>
      <c r="E26" s="4">
        <v>290</v>
      </c>
      <c r="F26" s="4">
        <v>290</v>
      </c>
      <c r="G26" s="4"/>
      <c r="H26" s="3" t="s">
        <v>26</v>
      </c>
      <c r="I26" s="3" t="s">
        <v>71</v>
      </c>
      <c r="J26" s="39"/>
    </row>
    <row r="27" spans="1:10" s="2" customFormat="1" hidden="1" x14ac:dyDescent="0.25">
      <c r="A27" s="32" t="s">
        <v>35</v>
      </c>
      <c r="B27" s="3" t="s">
        <v>69</v>
      </c>
      <c r="C27" s="3" t="s">
        <v>28</v>
      </c>
      <c r="D27" s="3" t="s">
        <v>33</v>
      </c>
      <c r="E27" s="4">
        <v>490</v>
      </c>
      <c r="F27" s="4">
        <v>490</v>
      </c>
      <c r="G27" s="4"/>
      <c r="H27" s="3" t="s">
        <v>26</v>
      </c>
      <c r="I27" s="3" t="s">
        <v>71</v>
      </c>
      <c r="J27" s="39"/>
    </row>
    <row r="28" spans="1:10" s="2" customFormat="1" hidden="1" x14ac:dyDescent="0.25">
      <c r="A28" s="32" t="s">
        <v>15</v>
      </c>
      <c r="B28" s="3" t="s">
        <v>70</v>
      </c>
      <c r="C28" s="3" t="s">
        <v>28</v>
      </c>
      <c r="D28" s="3" t="s">
        <v>33</v>
      </c>
      <c r="E28" s="4">
        <v>4115</v>
      </c>
      <c r="F28" s="4">
        <v>4115</v>
      </c>
      <c r="G28" s="4"/>
      <c r="H28" s="3" t="s">
        <v>26</v>
      </c>
      <c r="I28" s="3" t="s">
        <v>71</v>
      </c>
      <c r="J28" s="39"/>
    </row>
    <row r="29" spans="1:10" s="2" customFormat="1" hidden="1" x14ac:dyDescent="0.25">
      <c r="A29" s="32" t="s">
        <v>8</v>
      </c>
      <c r="B29" s="3" t="s">
        <v>69</v>
      </c>
      <c r="C29" s="3" t="s">
        <v>28</v>
      </c>
      <c r="D29" s="3" t="s">
        <v>33</v>
      </c>
      <c r="E29" s="4">
        <v>7350</v>
      </c>
      <c r="F29" s="4">
        <v>7350</v>
      </c>
      <c r="G29" s="4"/>
      <c r="H29" s="3" t="s">
        <v>26</v>
      </c>
      <c r="I29" s="3" t="s">
        <v>71</v>
      </c>
      <c r="J29" s="39"/>
    </row>
    <row r="30" spans="1:10" s="2" customFormat="1" hidden="1" x14ac:dyDescent="0.25">
      <c r="A30" s="32" t="s">
        <v>6</v>
      </c>
      <c r="B30" s="3" t="s">
        <v>69</v>
      </c>
      <c r="C30" s="3" t="s">
        <v>28</v>
      </c>
      <c r="D30" s="3" t="s">
        <v>33</v>
      </c>
      <c r="E30" s="4">
        <v>1640</v>
      </c>
      <c r="F30" s="4">
        <v>1640</v>
      </c>
      <c r="G30" s="4"/>
      <c r="H30" s="3" t="s">
        <v>26</v>
      </c>
      <c r="I30" s="3" t="s">
        <v>85</v>
      </c>
      <c r="J30" s="39"/>
    </row>
    <row r="31" spans="1:10" s="2" customFormat="1" hidden="1" x14ac:dyDescent="0.25">
      <c r="A31" s="32" t="s">
        <v>42</v>
      </c>
      <c r="B31" s="3" t="s">
        <v>70</v>
      </c>
      <c r="C31" s="3" t="s">
        <v>33</v>
      </c>
      <c r="D31" s="3" t="s">
        <v>34</v>
      </c>
      <c r="E31" s="4">
        <v>470</v>
      </c>
      <c r="F31" s="4">
        <v>470</v>
      </c>
      <c r="G31" s="4"/>
      <c r="H31" s="3" t="s">
        <v>26</v>
      </c>
      <c r="I31" s="3" t="s">
        <v>71</v>
      </c>
      <c r="J31" s="39"/>
    </row>
    <row r="32" spans="1:10" s="2" customFormat="1" hidden="1" x14ac:dyDescent="0.25">
      <c r="A32" s="32" t="s">
        <v>36</v>
      </c>
      <c r="B32" s="3" t="s">
        <v>70</v>
      </c>
      <c r="C32" s="3" t="s">
        <v>33</v>
      </c>
      <c r="D32" s="3" t="s">
        <v>37</v>
      </c>
      <c r="E32" s="4">
        <v>2160</v>
      </c>
      <c r="F32" s="4">
        <v>2160</v>
      </c>
      <c r="G32" s="4"/>
      <c r="H32" s="3" t="s">
        <v>26</v>
      </c>
      <c r="I32" s="3" t="s">
        <v>71</v>
      </c>
      <c r="J32" s="39"/>
    </row>
    <row r="33" spans="1:10" s="2" customFormat="1" hidden="1" x14ac:dyDescent="0.25">
      <c r="A33" s="32" t="s">
        <v>17</v>
      </c>
      <c r="B33" s="3" t="s">
        <v>70</v>
      </c>
      <c r="C33" s="3" t="s">
        <v>33</v>
      </c>
      <c r="D33" s="3" t="s">
        <v>34</v>
      </c>
      <c r="E33" s="4">
        <v>400</v>
      </c>
      <c r="F33" s="4">
        <v>400</v>
      </c>
      <c r="G33" s="4"/>
      <c r="H33" s="3" t="s">
        <v>26</v>
      </c>
      <c r="I33" s="3" t="s">
        <v>71</v>
      </c>
      <c r="J33" s="39"/>
    </row>
    <row r="34" spans="1:10" s="2" customFormat="1" hidden="1" x14ac:dyDescent="0.25">
      <c r="A34" s="32" t="s">
        <v>38</v>
      </c>
      <c r="B34" s="3" t="s">
        <v>70</v>
      </c>
      <c r="C34" s="3" t="s">
        <v>33</v>
      </c>
      <c r="D34" s="3" t="s">
        <v>43</v>
      </c>
      <c r="E34" s="4">
        <v>209380</v>
      </c>
      <c r="F34" s="4">
        <v>209380</v>
      </c>
      <c r="G34" s="4"/>
      <c r="H34" s="3" t="s">
        <v>26</v>
      </c>
      <c r="I34" s="3" t="s">
        <v>71</v>
      </c>
      <c r="J34" s="39"/>
    </row>
    <row r="35" spans="1:10" s="2" customFormat="1" hidden="1" x14ac:dyDescent="0.25">
      <c r="A35" s="32" t="s">
        <v>39</v>
      </c>
      <c r="B35" s="3" t="s">
        <v>69</v>
      </c>
      <c r="C35" s="3" t="s">
        <v>33</v>
      </c>
      <c r="D35" s="3" t="s">
        <v>34</v>
      </c>
      <c r="E35" s="4">
        <v>640</v>
      </c>
      <c r="F35" s="4">
        <v>640</v>
      </c>
      <c r="G35" s="4"/>
      <c r="H35" s="3" t="s">
        <v>26</v>
      </c>
      <c r="I35" s="3" t="s">
        <v>71</v>
      </c>
      <c r="J35" s="39"/>
    </row>
    <row r="36" spans="1:10" s="2" customFormat="1" hidden="1" x14ac:dyDescent="0.25">
      <c r="A36" s="32" t="s">
        <v>9</v>
      </c>
      <c r="B36" s="3" t="s">
        <v>69</v>
      </c>
      <c r="C36" s="3" t="s">
        <v>33</v>
      </c>
      <c r="D36" s="3" t="s">
        <v>37</v>
      </c>
      <c r="E36" s="4">
        <v>400</v>
      </c>
      <c r="F36" s="4">
        <v>400</v>
      </c>
      <c r="G36" s="4"/>
      <c r="H36" s="3" t="s">
        <v>26</v>
      </c>
      <c r="I36" s="3" t="s">
        <v>71</v>
      </c>
      <c r="J36" s="39"/>
    </row>
    <row r="37" spans="1:10" s="2" customFormat="1" hidden="1" x14ac:dyDescent="0.25">
      <c r="A37" s="32" t="s">
        <v>32</v>
      </c>
      <c r="B37" s="3" t="s">
        <v>69</v>
      </c>
      <c r="C37" s="3" t="s">
        <v>34</v>
      </c>
      <c r="D37" s="3" t="s">
        <v>40</v>
      </c>
      <c r="E37" s="4">
        <v>250</v>
      </c>
      <c r="F37" s="4">
        <v>250</v>
      </c>
      <c r="G37" s="4"/>
      <c r="H37" s="3" t="s">
        <v>26</v>
      </c>
      <c r="I37" s="3" t="s">
        <v>71</v>
      </c>
      <c r="J37" s="39"/>
    </row>
    <row r="38" spans="1:10" s="2" customFormat="1" hidden="1" x14ac:dyDescent="0.25">
      <c r="A38" s="32" t="s">
        <v>10</v>
      </c>
      <c r="B38" s="3" t="s">
        <v>70</v>
      </c>
      <c r="C38" s="3" t="s">
        <v>34</v>
      </c>
      <c r="D38" s="3" t="s">
        <v>40</v>
      </c>
      <c r="E38" s="4">
        <v>550</v>
      </c>
      <c r="F38" s="4">
        <v>550</v>
      </c>
      <c r="G38" s="4"/>
      <c r="H38" s="3" t="s">
        <v>26</v>
      </c>
      <c r="I38" s="3" t="s">
        <v>71</v>
      </c>
      <c r="J38" s="39"/>
    </row>
    <row r="39" spans="1:10" s="2" customFormat="1" hidden="1" x14ac:dyDescent="0.25">
      <c r="A39" s="32" t="s">
        <v>12</v>
      </c>
      <c r="B39" s="3" t="s">
        <v>69</v>
      </c>
      <c r="C39" s="3" t="s">
        <v>34</v>
      </c>
      <c r="D39" s="3" t="s">
        <v>40</v>
      </c>
      <c r="E39" s="4">
        <v>2910</v>
      </c>
      <c r="F39" s="4">
        <v>2910</v>
      </c>
      <c r="G39" s="4"/>
      <c r="H39" s="3" t="s">
        <v>26</v>
      </c>
      <c r="I39" s="3" t="s">
        <v>71</v>
      </c>
      <c r="J39" s="39"/>
    </row>
    <row r="40" spans="1:10" s="2" customFormat="1" hidden="1" x14ac:dyDescent="0.25">
      <c r="A40" s="32" t="s">
        <v>18</v>
      </c>
      <c r="B40" s="3" t="s">
        <v>69</v>
      </c>
      <c r="C40" s="3" t="s">
        <v>34</v>
      </c>
      <c r="D40" s="3" t="s">
        <v>40</v>
      </c>
      <c r="E40" s="4">
        <v>550</v>
      </c>
      <c r="F40" s="4">
        <v>550</v>
      </c>
      <c r="G40" s="4"/>
      <c r="H40" s="44" t="s">
        <v>86</v>
      </c>
      <c r="I40" s="3" t="s">
        <v>71</v>
      </c>
      <c r="J40" s="45" t="s">
        <v>84</v>
      </c>
    </row>
    <row r="41" spans="1:10" s="2" customFormat="1" hidden="1" x14ac:dyDescent="0.25">
      <c r="A41" s="32" t="s">
        <v>13</v>
      </c>
      <c r="B41" s="3" t="s">
        <v>70</v>
      </c>
      <c r="C41" s="3" t="s">
        <v>34</v>
      </c>
      <c r="D41" s="3" t="s">
        <v>40</v>
      </c>
      <c r="E41" s="4">
        <v>1180</v>
      </c>
      <c r="F41" s="4">
        <v>1180</v>
      </c>
      <c r="G41" s="4"/>
      <c r="H41" s="3" t="s">
        <v>26</v>
      </c>
      <c r="I41" s="3" t="s">
        <v>71</v>
      </c>
      <c r="J41" s="39"/>
    </row>
    <row r="42" spans="1:10" s="2" customFormat="1" hidden="1" x14ac:dyDescent="0.25">
      <c r="A42" s="32" t="s">
        <v>11</v>
      </c>
      <c r="B42" s="3" t="s">
        <v>70</v>
      </c>
      <c r="C42" s="3" t="s">
        <v>34</v>
      </c>
      <c r="D42" s="3" t="s">
        <v>40</v>
      </c>
      <c r="E42" s="4">
        <v>665</v>
      </c>
      <c r="F42" s="4">
        <v>665</v>
      </c>
      <c r="G42" s="4"/>
      <c r="H42" s="3" t="s">
        <v>26</v>
      </c>
      <c r="I42" s="3" t="s">
        <v>71</v>
      </c>
      <c r="J42" s="39"/>
    </row>
    <row r="43" spans="1:10" s="2" customFormat="1" hidden="1" x14ac:dyDescent="0.25">
      <c r="A43" s="32" t="s">
        <v>14</v>
      </c>
      <c r="B43" s="3" t="s">
        <v>70</v>
      </c>
      <c r="C43" s="3" t="s">
        <v>34</v>
      </c>
      <c r="D43" s="3" t="s">
        <v>40</v>
      </c>
      <c r="E43" s="4">
        <v>110</v>
      </c>
      <c r="F43" s="4">
        <v>110</v>
      </c>
      <c r="G43" s="4"/>
      <c r="H43" s="3" t="s">
        <v>26</v>
      </c>
      <c r="I43" s="3" t="s">
        <v>71</v>
      </c>
      <c r="J43" s="39"/>
    </row>
    <row r="44" spans="1:10" s="2" customFormat="1" hidden="1" x14ac:dyDescent="0.25">
      <c r="A44" s="32" t="s">
        <v>16</v>
      </c>
      <c r="B44" s="3" t="s">
        <v>69</v>
      </c>
      <c r="C44" s="3" t="s">
        <v>34</v>
      </c>
      <c r="D44" s="3" t="s">
        <v>40</v>
      </c>
      <c r="E44" s="4">
        <v>220</v>
      </c>
      <c r="F44" s="4">
        <v>220</v>
      </c>
      <c r="G44" s="4"/>
      <c r="H44" s="3" t="s">
        <v>26</v>
      </c>
      <c r="I44" s="3" t="s">
        <v>71</v>
      </c>
      <c r="J44" s="39"/>
    </row>
    <row r="45" spans="1:10" s="2" customFormat="1" hidden="1" x14ac:dyDescent="0.25">
      <c r="A45" s="32" t="s">
        <v>30</v>
      </c>
      <c r="B45" s="3" t="s">
        <v>70</v>
      </c>
      <c r="C45" s="3" t="s">
        <v>34</v>
      </c>
      <c r="D45" s="3" t="s">
        <v>40</v>
      </c>
      <c r="E45" s="4">
        <v>100</v>
      </c>
      <c r="F45" s="4">
        <v>100</v>
      </c>
      <c r="G45" s="4"/>
      <c r="H45" s="3" t="s">
        <v>26</v>
      </c>
      <c r="I45" s="3" t="s">
        <v>71</v>
      </c>
      <c r="J45" s="39"/>
    </row>
    <row r="46" spans="1:10" s="2" customFormat="1" hidden="1" x14ac:dyDescent="0.25">
      <c r="A46" s="32" t="s">
        <v>35</v>
      </c>
      <c r="B46" s="3" t="s">
        <v>69</v>
      </c>
      <c r="C46" s="3" t="s">
        <v>34</v>
      </c>
      <c r="D46" s="3" t="s">
        <v>40</v>
      </c>
      <c r="E46" s="4">
        <v>220</v>
      </c>
      <c r="F46" s="4">
        <v>220</v>
      </c>
      <c r="G46" s="4"/>
      <c r="H46" s="3" t="s">
        <v>26</v>
      </c>
      <c r="I46" s="3" t="s">
        <v>71</v>
      </c>
      <c r="J46" s="39"/>
    </row>
    <row r="47" spans="1:10" s="2" customFormat="1" hidden="1" x14ac:dyDescent="0.25">
      <c r="A47" s="32" t="s">
        <v>41</v>
      </c>
      <c r="B47" s="3" t="s">
        <v>70</v>
      </c>
      <c r="C47" s="3" t="s">
        <v>34</v>
      </c>
      <c r="D47" s="3" t="s">
        <v>40</v>
      </c>
      <c r="E47" s="4">
        <v>1254</v>
      </c>
      <c r="F47" s="4">
        <v>1254</v>
      </c>
      <c r="G47" s="4"/>
      <c r="H47" s="3" t="s">
        <v>26</v>
      </c>
      <c r="I47" s="3" t="s">
        <v>71</v>
      </c>
      <c r="J47" s="39"/>
    </row>
    <row r="48" spans="1:10" s="2" customFormat="1" hidden="1" x14ac:dyDescent="0.25">
      <c r="A48" s="32" t="s">
        <v>42</v>
      </c>
      <c r="B48" s="3" t="s">
        <v>70</v>
      </c>
      <c r="C48" s="3" t="s">
        <v>37</v>
      </c>
      <c r="D48" s="3" t="s">
        <v>40</v>
      </c>
      <c r="E48" s="4">
        <v>450</v>
      </c>
      <c r="F48" s="4">
        <v>450</v>
      </c>
      <c r="G48" s="4"/>
      <c r="H48" s="3" t="s">
        <v>26</v>
      </c>
      <c r="I48" s="3" t="s">
        <v>71</v>
      </c>
      <c r="J48" s="39"/>
    </row>
    <row r="49" spans="1:11" s="2" customFormat="1" hidden="1" x14ac:dyDescent="0.25">
      <c r="A49" s="32" t="s">
        <v>17</v>
      </c>
      <c r="B49" s="3" t="s">
        <v>70</v>
      </c>
      <c r="C49" s="3" t="s">
        <v>37</v>
      </c>
      <c r="D49" s="3" t="s">
        <v>40</v>
      </c>
      <c r="E49" s="4">
        <v>6050</v>
      </c>
      <c r="F49" s="4">
        <v>6050</v>
      </c>
      <c r="G49" s="4"/>
      <c r="H49" s="3" t="s">
        <v>26</v>
      </c>
      <c r="I49" s="3" t="s">
        <v>71</v>
      </c>
      <c r="J49" s="39"/>
    </row>
    <row r="50" spans="1:11" s="2" customFormat="1" hidden="1" x14ac:dyDescent="0.25">
      <c r="A50" s="32" t="s">
        <v>6</v>
      </c>
      <c r="B50" s="3" t="s">
        <v>69</v>
      </c>
      <c r="C50" s="3" t="s">
        <v>37</v>
      </c>
      <c r="D50" s="3" t="s">
        <v>40</v>
      </c>
      <c r="E50" s="4">
        <v>650</v>
      </c>
      <c r="F50" s="4">
        <v>650</v>
      </c>
      <c r="G50" s="4"/>
      <c r="H50" s="3" t="s">
        <v>26</v>
      </c>
      <c r="I50" s="3" t="s">
        <v>85</v>
      </c>
      <c r="J50" s="39"/>
    </row>
    <row r="51" spans="1:11" s="2" customFormat="1" hidden="1" x14ac:dyDescent="0.25">
      <c r="A51" s="32" t="s">
        <v>27</v>
      </c>
      <c r="B51" s="3" t="s">
        <v>70</v>
      </c>
      <c r="C51" s="3" t="s">
        <v>37</v>
      </c>
      <c r="D51" s="3" t="s">
        <v>40</v>
      </c>
      <c r="E51" s="4">
        <v>1700</v>
      </c>
      <c r="F51" s="4">
        <v>1700</v>
      </c>
      <c r="G51" s="4"/>
      <c r="H51" s="3" t="s">
        <v>26</v>
      </c>
      <c r="I51" s="3" t="s">
        <v>71</v>
      </c>
      <c r="J51" s="39"/>
    </row>
    <row r="52" spans="1:11" s="2" customFormat="1" hidden="1" x14ac:dyDescent="0.25">
      <c r="A52" s="32" t="s">
        <v>8</v>
      </c>
      <c r="B52" s="3" t="s">
        <v>69</v>
      </c>
      <c r="C52" s="3" t="s">
        <v>37</v>
      </c>
      <c r="D52" s="3" t="s">
        <v>40</v>
      </c>
      <c r="E52" s="4">
        <v>8840</v>
      </c>
      <c r="F52" s="4">
        <v>8840</v>
      </c>
      <c r="G52" s="4"/>
      <c r="H52" s="3" t="s">
        <v>26</v>
      </c>
      <c r="I52" s="3" t="s">
        <v>71</v>
      </c>
      <c r="J52" s="39"/>
    </row>
    <row r="53" spans="1:11" s="2" customFormat="1" hidden="1" x14ac:dyDescent="0.25">
      <c r="A53" s="32" t="s">
        <v>15</v>
      </c>
      <c r="B53" s="3" t="s">
        <v>70</v>
      </c>
      <c r="C53" s="3" t="s">
        <v>37</v>
      </c>
      <c r="D53" s="3" t="s">
        <v>40</v>
      </c>
      <c r="E53" s="4">
        <v>7400</v>
      </c>
      <c r="F53" s="4">
        <v>7400</v>
      </c>
      <c r="G53" s="4"/>
      <c r="H53" s="3" t="s">
        <v>26</v>
      </c>
      <c r="I53" s="3" t="s">
        <v>71</v>
      </c>
      <c r="J53" s="39"/>
    </row>
    <row r="54" spans="1:11" s="2" customFormat="1" hidden="1" x14ac:dyDescent="0.25">
      <c r="A54" s="32" t="s">
        <v>50</v>
      </c>
      <c r="B54" s="3" t="s">
        <v>50</v>
      </c>
      <c r="C54" s="3" t="s">
        <v>23</v>
      </c>
      <c r="D54" s="3" t="s">
        <v>52</v>
      </c>
      <c r="E54" s="4">
        <v>128905</v>
      </c>
      <c r="F54" s="4">
        <v>128905</v>
      </c>
      <c r="G54" s="4"/>
      <c r="H54" s="3" t="s">
        <v>26</v>
      </c>
      <c r="I54" s="3" t="s">
        <v>71</v>
      </c>
      <c r="J54" s="39"/>
    </row>
    <row r="55" spans="1:11" s="2" customFormat="1" hidden="1" x14ac:dyDescent="0.25">
      <c r="A55" s="32" t="s">
        <v>50</v>
      </c>
      <c r="B55" s="3" t="s">
        <v>50</v>
      </c>
      <c r="C55" s="3" t="s">
        <v>28</v>
      </c>
      <c r="D55" s="3" t="s">
        <v>43</v>
      </c>
      <c r="E55" s="4">
        <v>20150</v>
      </c>
      <c r="F55" s="4">
        <v>20150</v>
      </c>
      <c r="G55" s="4"/>
      <c r="H55" s="3" t="s">
        <v>26</v>
      </c>
      <c r="I55" s="3" t="s">
        <v>71</v>
      </c>
      <c r="J55" s="39"/>
    </row>
    <row r="56" spans="1:11" s="2" customFormat="1" hidden="1" x14ac:dyDescent="0.25">
      <c r="A56" s="32" t="s">
        <v>50</v>
      </c>
      <c r="B56" s="3" t="s">
        <v>50</v>
      </c>
      <c r="C56" s="3" t="s">
        <v>37</v>
      </c>
      <c r="D56" s="3" t="s">
        <v>43</v>
      </c>
      <c r="E56" s="4">
        <v>34050</v>
      </c>
      <c r="F56" s="4">
        <v>34050</v>
      </c>
      <c r="G56" s="4"/>
      <c r="H56" s="3" t="s">
        <v>26</v>
      </c>
      <c r="I56" s="3" t="s">
        <v>71</v>
      </c>
      <c r="J56" s="39"/>
    </row>
    <row r="57" spans="1:11" s="2" customFormat="1" hidden="1" x14ac:dyDescent="0.25">
      <c r="A57" s="32" t="s">
        <v>35</v>
      </c>
      <c r="B57" s="3" t="s">
        <v>69</v>
      </c>
      <c r="C57" s="3" t="s">
        <v>43</v>
      </c>
      <c r="D57" s="3" t="s">
        <v>52</v>
      </c>
      <c r="E57" s="4">
        <v>280</v>
      </c>
      <c r="F57" s="4">
        <v>280</v>
      </c>
      <c r="G57" s="4"/>
      <c r="H57" s="3" t="s">
        <v>26</v>
      </c>
      <c r="I57" s="3" t="s">
        <v>71</v>
      </c>
      <c r="J57" s="39"/>
    </row>
    <row r="58" spans="1:11" s="2" customFormat="1" hidden="1" x14ac:dyDescent="0.25">
      <c r="A58" s="32" t="s">
        <v>12</v>
      </c>
      <c r="B58" s="3" t="s">
        <v>69</v>
      </c>
      <c r="C58" s="3" t="s">
        <v>43</v>
      </c>
      <c r="D58" s="3" t="s">
        <v>52</v>
      </c>
      <c r="E58" s="4">
        <v>8035</v>
      </c>
      <c r="F58" s="4">
        <v>8035</v>
      </c>
      <c r="G58" s="4"/>
      <c r="H58" s="3" t="s">
        <v>26</v>
      </c>
      <c r="I58" s="3" t="s">
        <v>71</v>
      </c>
      <c r="J58" s="39"/>
    </row>
    <row r="59" spans="1:11" s="2" customFormat="1" hidden="1" x14ac:dyDescent="0.25">
      <c r="A59" s="32" t="s">
        <v>15</v>
      </c>
      <c r="B59" s="3" t="s">
        <v>70</v>
      </c>
      <c r="C59" s="3" t="s">
        <v>43</v>
      </c>
      <c r="D59" s="3" t="s">
        <v>52</v>
      </c>
      <c r="E59" s="4">
        <v>3090</v>
      </c>
      <c r="F59" s="4">
        <v>3090</v>
      </c>
      <c r="G59" s="4"/>
      <c r="H59" s="3" t="s">
        <v>26</v>
      </c>
      <c r="I59" s="3" t="s">
        <v>71</v>
      </c>
      <c r="J59" s="39"/>
    </row>
    <row r="60" spans="1:11" s="2" customFormat="1" hidden="1" x14ac:dyDescent="0.25">
      <c r="A60" s="32" t="s">
        <v>41</v>
      </c>
      <c r="B60" s="3" t="s">
        <v>70</v>
      </c>
      <c r="C60" s="3" t="s">
        <v>43</v>
      </c>
      <c r="D60" s="3" t="s">
        <v>54</v>
      </c>
      <c r="E60" s="4">
        <v>1820</v>
      </c>
      <c r="F60" s="4">
        <v>1820</v>
      </c>
      <c r="G60" s="4"/>
      <c r="H60" s="3" t="s">
        <v>26</v>
      </c>
      <c r="I60" s="3" t="s">
        <v>71</v>
      </c>
      <c r="J60" s="39"/>
    </row>
    <row r="61" spans="1:11" hidden="1" x14ac:dyDescent="0.25">
      <c r="A61" s="32" t="s">
        <v>42</v>
      </c>
      <c r="B61" s="3" t="s">
        <v>70</v>
      </c>
      <c r="C61" s="3" t="s">
        <v>43</v>
      </c>
      <c r="D61" s="3" t="s">
        <v>52</v>
      </c>
      <c r="E61" s="4">
        <v>420</v>
      </c>
      <c r="F61" s="4">
        <v>420</v>
      </c>
      <c r="G61" s="4"/>
      <c r="H61" s="3" t="s">
        <v>26</v>
      </c>
      <c r="I61" s="3" t="s">
        <v>71</v>
      </c>
      <c r="J61" s="40"/>
    </row>
    <row r="62" spans="1:11" s="2" customFormat="1" hidden="1" x14ac:dyDescent="0.25">
      <c r="A62" s="32" t="s">
        <v>17</v>
      </c>
      <c r="B62" s="3" t="s">
        <v>70</v>
      </c>
      <c r="C62" s="3" t="s">
        <v>43</v>
      </c>
      <c r="D62" s="3" t="s">
        <v>52</v>
      </c>
      <c r="E62" s="4">
        <v>500</v>
      </c>
      <c r="F62" s="4">
        <v>500</v>
      </c>
      <c r="G62" s="4"/>
      <c r="H62" s="3" t="s">
        <v>26</v>
      </c>
      <c r="I62" s="3" t="s">
        <v>71</v>
      </c>
      <c r="J62" s="39"/>
    </row>
    <row r="63" spans="1:11" hidden="1" x14ac:dyDescent="0.25">
      <c r="A63" s="32" t="s">
        <v>50</v>
      </c>
      <c r="B63" s="3" t="s">
        <v>50</v>
      </c>
      <c r="C63" s="3" t="s">
        <v>43</v>
      </c>
      <c r="D63" s="3" t="s">
        <v>54</v>
      </c>
      <c r="E63" s="4">
        <f>24375+169270</f>
        <v>193645</v>
      </c>
      <c r="F63" s="4">
        <f>24375+169270</f>
        <v>193645</v>
      </c>
      <c r="G63" s="4"/>
      <c r="H63" s="3" t="s">
        <v>26</v>
      </c>
      <c r="I63" s="3" t="s">
        <v>71</v>
      </c>
      <c r="J63" s="40"/>
    </row>
    <row r="64" spans="1:11" s="2" customFormat="1" hidden="1" x14ac:dyDescent="0.25">
      <c r="A64" s="32" t="s">
        <v>8</v>
      </c>
      <c r="B64" s="3" t="s">
        <v>69</v>
      </c>
      <c r="C64" s="3" t="s">
        <v>43</v>
      </c>
      <c r="D64" s="3" t="s">
        <v>54</v>
      </c>
      <c r="E64" s="4">
        <v>22350</v>
      </c>
      <c r="F64" s="4">
        <v>22350</v>
      </c>
      <c r="G64" s="4"/>
      <c r="H64" s="3" t="s">
        <v>26</v>
      </c>
      <c r="I64" s="3" t="s">
        <v>71</v>
      </c>
      <c r="J64" s="41"/>
      <c r="K64" s="12"/>
    </row>
    <row r="65" spans="1:10" s="2" customFormat="1" hidden="1" x14ac:dyDescent="0.25">
      <c r="A65" s="32" t="s">
        <v>24</v>
      </c>
      <c r="B65" s="3" t="s">
        <v>70</v>
      </c>
      <c r="C65" s="3" t="s">
        <v>52</v>
      </c>
      <c r="D65" s="3" t="s">
        <v>54</v>
      </c>
      <c r="E65" s="4">
        <v>380</v>
      </c>
      <c r="F65" s="4">
        <v>380</v>
      </c>
      <c r="G65" s="4"/>
      <c r="H65" s="3" t="s">
        <v>26</v>
      </c>
      <c r="I65" s="3" t="s">
        <v>71</v>
      </c>
      <c r="J65" s="39"/>
    </row>
    <row r="66" spans="1:10" s="2" customFormat="1" hidden="1" x14ac:dyDescent="0.25">
      <c r="A66" s="32" t="s">
        <v>36</v>
      </c>
      <c r="B66" s="3" t="s">
        <v>70</v>
      </c>
      <c r="C66" s="3" t="s">
        <v>52</v>
      </c>
      <c r="D66" s="3" t="s">
        <v>54</v>
      </c>
      <c r="E66" s="4">
        <v>4940</v>
      </c>
      <c r="F66" s="4">
        <v>4940</v>
      </c>
      <c r="G66" s="4"/>
      <c r="H66" s="3" t="s">
        <v>26</v>
      </c>
      <c r="I66" s="3" t="s">
        <v>71</v>
      </c>
      <c r="J66" s="39"/>
    </row>
    <row r="67" spans="1:10" s="2" customFormat="1" hidden="1" x14ac:dyDescent="0.25">
      <c r="A67" s="32" t="s">
        <v>13</v>
      </c>
      <c r="B67" s="3" t="s">
        <v>70</v>
      </c>
      <c r="C67" s="3" t="s">
        <v>52</v>
      </c>
      <c r="D67" s="3" t="s">
        <v>54</v>
      </c>
      <c r="E67" s="4">
        <v>250</v>
      </c>
      <c r="F67" s="4">
        <v>250</v>
      </c>
      <c r="G67" s="4"/>
      <c r="H67" s="3" t="s">
        <v>26</v>
      </c>
      <c r="I67" s="3" t="s">
        <v>71</v>
      </c>
      <c r="J67" s="39"/>
    </row>
    <row r="68" spans="1:10" s="2" customFormat="1" hidden="1" x14ac:dyDescent="0.25">
      <c r="A68" s="32" t="s">
        <v>14</v>
      </c>
      <c r="B68" s="3" t="s">
        <v>70</v>
      </c>
      <c r="C68" s="3" t="s">
        <v>52</v>
      </c>
      <c r="D68" s="3" t="s">
        <v>54</v>
      </c>
      <c r="E68" s="4">
        <v>110</v>
      </c>
      <c r="F68" s="4">
        <v>110</v>
      </c>
      <c r="G68" s="4"/>
      <c r="H68" s="3" t="s">
        <v>26</v>
      </c>
      <c r="I68" s="3" t="s">
        <v>71</v>
      </c>
      <c r="J68" s="39"/>
    </row>
    <row r="69" spans="1:10" s="2" customFormat="1" hidden="1" x14ac:dyDescent="0.25">
      <c r="A69" s="32" t="s">
        <v>11</v>
      </c>
      <c r="B69" s="3" t="s">
        <v>70</v>
      </c>
      <c r="C69" s="3" t="s">
        <v>52</v>
      </c>
      <c r="D69" s="3" t="s">
        <v>54</v>
      </c>
      <c r="E69" s="4">
        <v>60</v>
      </c>
      <c r="F69" s="4">
        <v>60</v>
      </c>
      <c r="G69" s="4"/>
      <c r="H69" s="3" t="s">
        <v>26</v>
      </c>
      <c r="I69" s="3" t="s">
        <v>71</v>
      </c>
      <c r="J69" s="39"/>
    </row>
    <row r="70" spans="1:10" s="2" customFormat="1" hidden="1" x14ac:dyDescent="0.25">
      <c r="A70" s="32" t="s">
        <v>27</v>
      </c>
      <c r="B70" s="3" t="s">
        <v>70</v>
      </c>
      <c r="C70" s="3" t="s">
        <v>52</v>
      </c>
      <c r="D70" s="3" t="s">
        <v>54</v>
      </c>
      <c r="E70" s="4">
        <v>75</v>
      </c>
      <c r="F70" s="4">
        <v>75</v>
      </c>
      <c r="G70" s="4"/>
      <c r="H70" s="3" t="s">
        <v>26</v>
      </c>
      <c r="I70" s="3" t="s">
        <v>71</v>
      </c>
      <c r="J70" s="39"/>
    </row>
    <row r="71" spans="1:10" hidden="1" x14ac:dyDescent="0.25">
      <c r="A71" s="32" t="s">
        <v>20</v>
      </c>
      <c r="B71" s="3" t="s">
        <v>69</v>
      </c>
      <c r="C71" s="3" t="s">
        <v>52</v>
      </c>
      <c r="D71" s="3" t="s">
        <v>54</v>
      </c>
      <c r="E71" s="4">
        <v>30</v>
      </c>
      <c r="F71" s="4">
        <v>30</v>
      </c>
      <c r="G71" s="4"/>
      <c r="H71" s="3" t="s">
        <v>26</v>
      </c>
      <c r="I71" s="3" t="s">
        <v>71</v>
      </c>
      <c r="J71" s="40"/>
    </row>
    <row r="72" spans="1:10" s="2" customFormat="1" hidden="1" x14ac:dyDescent="0.25">
      <c r="A72" s="32" t="s">
        <v>16</v>
      </c>
      <c r="B72" s="3" t="s">
        <v>69</v>
      </c>
      <c r="C72" s="3" t="s">
        <v>52</v>
      </c>
      <c r="D72" s="3" t="s">
        <v>54</v>
      </c>
      <c r="E72" s="4">
        <v>1807</v>
      </c>
      <c r="F72" s="4">
        <v>1807</v>
      </c>
      <c r="G72" s="4"/>
      <c r="H72" s="3" t="s">
        <v>26</v>
      </c>
      <c r="I72" s="3" t="s">
        <v>71</v>
      </c>
      <c r="J72" s="39"/>
    </row>
    <row r="73" spans="1:10" hidden="1" x14ac:dyDescent="0.25">
      <c r="A73" s="32" t="s">
        <v>18</v>
      </c>
      <c r="B73" s="3" t="s">
        <v>69</v>
      </c>
      <c r="C73" s="3" t="s">
        <v>52</v>
      </c>
      <c r="D73" s="3" t="s">
        <v>54</v>
      </c>
      <c r="E73" s="4">
        <v>2560</v>
      </c>
      <c r="F73" s="4">
        <v>2560</v>
      </c>
      <c r="G73" s="4"/>
      <c r="H73" s="3" t="s">
        <v>26</v>
      </c>
      <c r="I73" s="3" t="s">
        <v>71</v>
      </c>
      <c r="J73" s="40"/>
    </row>
    <row r="74" spans="1:10" hidden="1" x14ac:dyDescent="0.25">
      <c r="A74" s="32" t="s">
        <v>38</v>
      </c>
      <c r="B74" s="3" t="s">
        <v>70</v>
      </c>
      <c r="C74" s="3" t="s">
        <v>43</v>
      </c>
      <c r="D74" s="3" t="s">
        <v>54</v>
      </c>
      <c r="E74" s="4">
        <v>2060</v>
      </c>
      <c r="F74" s="4">
        <v>2060</v>
      </c>
      <c r="G74" s="4"/>
      <c r="H74" s="3" t="s">
        <v>26</v>
      </c>
      <c r="I74" s="3" t="s">
        <v>71</v>
      </c>
      <c r="J74" s="40"/>
    </row>
    <row r="75" spans="1:10" hidden="1" x14ac:dyDescent="0.25">
      <c r="A75" s="32" t="s">
        <v>18</v>
      </c>
      <c r="B75" s="3" t="s">
        <v>69</v>
      </c>
      <c r="C75" s="3" t="s">
        <v>55</v>
      </c>
      <c r="D75" s="3" t="s">
        <v>56</v>
      </c>
      <c r="E75" s="4">
        <v>230</v>
      </c>
      <c r="F75" s="4">
        <v>230</v>
      </c>
      <c r="G75" s="4"/>
      <c r="H75" s="3" t="s">
        <v>26</v>
      </c>
      <c r="I75" s="3" t="s">
        <v>71</v>
      </c>
      <c r="J75" s="40"/>
    </row>
    <row r="76" spans="1:10" hidden="1" x14ac:dyDescent="0.25">
      <c r="A76" s="32" t="s">
        <v>13</v>
      </c>
      <c r="B76" s="3" t="s">
        <v>70</v>
      </c>
      <c r="C76" s="3" t="s">
        <v>55</v>
      </c>
      <c r="D76" s="3" t="s">
        <v>56</v>
      </c>
      <c r="E76" s="4">
        <v>430</v>
      </c>
      <c r="F76" s="4">
        <v>430</v>
      </c>
      <c r="G76" s="4"/>
      <c r="H76" s="3" t="s">
        <v>26</v>
      </c>
      <c r="I76" s="3" t="s">
        <v>71</v>
      </c>
      <c r="J76" s="40"/>
    </row>
    <row r="77" spans="1:10" hidden="1" x14ac:dyDescent="0.25">
      <c r="A77" s="32" t="s">
        <v>38</v>
      </c>
      <c r="B77" s="3" t="s">
        <v>70</v>
      </c>
      <c r="C77" s="3" t="s">
        <v>55</v>
      </c>
      <c r="D77" s="3" t="s">
        <v>56</v>
      </c>
      <c r="E77" s="4">
        <v>231840</v>
      </c>
      <c r="F77" s="4">
        <v>231840</v>
      </c>
      <c r="G77" s="4"/>
      <c r="H77" s="3" t="s">
        <v>26</v>
      </c>
      <c r="I77" s="3" t="s">
        <v>71</v>
      </c>
      <c r="J77" s="40"/>
    </row>
    <row r="78" spans="1:10" x14ac:dyDescent="0.25">
      <c r="A78" s="32" t="s">
        <v>12</v>
      </c>
      <c r="B78" s="3" t="s">
        <v>69</v>
      </c>
      <c r="C78" s="3" t="s">
        <v>56</v>
      </c>
      <c r="D78" s="3" t="s">
        <v>58</v>
      </c>
      <c r="E78" s="30">
        <v>4935</v>
      </c>
      <c r="F78" s="30">
        <v>6380</v>
      </c>
      <c r="G78" s="30">
        <f>F78-E78</f>
        <v>1445</v>
      </c>
      <c r="H78" s="3" t="s">
        <v>26</v>
      </c>
      <c r="I78" s="3" t="s">
        <v>71</v>
      </c>
      <c r="J78" s="40" t="s">
        <v>96</v>
      </c>
    </row>
    <row r="79" spans="1:10" x14ac:dyDescent="0.25">
      <c r="A79" s="51" t="s">
        <v>15</v>
      </c>
      <c r="B79" s="44" t="s">
        <v>70</v>
      </c>
      <c r="C79" s="44" t="s">
        <v>56</v>
      </c>
      <c r="D79" s="44" t="s">
        <v>58</v>
      </c>
      <c r="E79" s="52">
        <v>7990</v>
      </c>
      <c r="F79" s="52">
        <v>7990</v>
      </c>
      <c r="G79" s="30">
        <f t="shared" ref="G79:G81" si="0">F79-E79</f>
        <v>0</v>
      </c>
      <c r="H79" s="44" t="s">
        <v>26</v>
      </c>
      <c r="I79" s="44" t="s">
        <v>71</v>
      </c>
      <c r="J79" s="53"/>
    </row>
    <row r="80" spans="1:10" x14ac:dyDescent="0.25">
      <c r="A80" s="51" t="s">
        <v>30</v>
      </c>
      <c r="B80" s="44" t="s">
        <v>70</v>
      </c>
      <c r="C80" s="44" t="s">
        <v>56</v>
      </c>
      <c r="D80" s="44" t="s">
        <v>58</v>
      </c>
      <c r="E80" s="52">
        <v>260</v>
      </c>
      <c r="F80" s="52">
        <v>480</v>
      </c>
      <c r="G80" s="30">
        <f t="shared" si="0"/>
        <v>220</v>
      </c>
      <c r="H80" s="44" t="s">
        <v>26</v>
      </c>
      <c r="I80" s="44" t="s">
        <v>71</v>
      </c>
      <c r="J80" s="40" t="s">
        <v>97</v>
      </c>
    </row>
    <row r="81" spans="1:10" x14ac:dyDescent="0.25">
      <c r="A81" s="32" t="s">
        <v>8</v>
      </c>
      <c r="B81" s="3" t="s">
        <v>69</v>
      </c>
      <c r="C81" s="3" t="s">
        <v>56</v>
      </c>
      <c r="D81" s="3" t="s">
        <v>58</v>
      </c>
      <c r="E81" s="30">
        <v>16590</v>
      </c>
      <c r="F81" s="30">
        <v>16590</v>
      </c>
      <c r="G81" s="30">
        <f t="shared" si="0"/>
        <v>0</v>
      </c>
      <c r="H81" s="3" t="s">
        <v>26</v>
      </c>
      <c r="I81" s="3" t="s">
        <v>71</v>
      </c>
      <c r="J81" s="40"/>
    </row>
    <row r="82" spans="1:10" hidden="1" x14ac:dyDescent="0.25">
      <c r="A82" s="32" t="s">
        <v>41</v>
      </c>
      <c r="B82" s="3" t="s">
        <v>70</v>
      </c>
      <c r="C82" s="3" t="s">
        <v>59</v>
      </c>
      <c r="D82" s="3" t="s">
        <v>57</v>
      </c>
      <c r="E82" s="4">
        <v>240</v>
      </c>
      <c r="F82" s="4">
        <v>240</v>
      </c>
      <c r="G82" s="4"/>
      <c r="H82" s="3" t="s">
        <v>26</v>
      </c>
      <c r="I82" s="3" t="s">
        <v>71</v>
      </c>
      <c r="J82" s="40"/>
    </row>
    <row r="83" spans="1:10" x14ac:dyDescent="0.25">
      <c r="A83" s="32" t="s">
        <v>50</v>
      </c>
      <c r="B83" s="3" t="s">
        <v>50</v>
      </c>
      <c r="C83" s="3" t="s">
        <v>56</v>
      </c>
      <c r="D83" s="3" t="s">
        <v>57</v>
      </c>
      <c r="E83" s="4">
        <v>72265</v>
      </c>
      <c r="F83" s="4">
        <v>72265</v>
      </c>
      <c r="G83" s="30">
        <f>F83-E83</f>
        <v>0</v>
      </c>
      <c r="H83" s="3" t="s">
        <v>26</v>
      </c>
      <c r="I83" s="3" t="s">
        <v>71</v>
      </c>
      <c r="J83" s="40"/>
    </row>
    <row r="84" spans="1:10" hidden="1" x14ac:dyDescent="0.25">
      <c r="A84" s="32" t="s">
        <v>42</v>
      </c>
      <c r="B84" s="3" t="s">
        <v>70</v>
      </c>
      <c r="C84" s="3" t="s">
        <v>57</v>
      </c>
      <c r="D84" s="3" t="s">
        <v>60</v>
      </c>
      <c r="E84" s="4">
        <v>1050</v>
      </c>
      <c r="F84" s="4">
        <v>1050</v>
      </c>
      <c r="G84" s="4"/>
      <c r="H84" s="3" t="s">
        <v>26</v>
      </c>
      <c r="I84" s="3" t="s">
        <v>71</v>
      </c>
      <c r="J84" s="40"/>
    </row>
    <row r="85" spans="1:10" hidden="1" x14ac:dyDescent="0.25">
      <c r="A85" s="32" t="s">
        <v>36</v>
      </c>
      <c r="B85" s="3" t="s">
        <v>70</v>
      </c>
      <c r="C85" s="3" t="s">
        <v>57</v>
      </c>
      <c r="D85" s="3" t="s">
        <v>60</v>
      </c>
      <c r="E85" s="4">
        <v>20</v>
      </c>
      <c r="F85" s="4">
        <v>20</v>
      </c>
      <c r="G85" s="4"/>
      <c r="H85" s="3" t="s">
        <v>26</v>
      </c>
      <c r="I85" s="3" t="s">
        <v>71</v>
      </c>
      <c r="J85" s="27"/>
    </row>
    <row r="86" spans="1:10" hidden="1" x14ac:dyDescent="0.25">
      <c r="A86" s="32" t="s">
        <v>8</v>
      </c>
      <c r="B86" s="3" t="s">
        <v>69</v>
      </c>
      <c r="C86" s="3" t="s">
        <v>57</v>
      </c>
      <c r="D86" s="3" t="s">
        <v>60</v>
      </c>
      <c r="E86" s="30">
        <v>19702</v>
      </c>
      <c r="F86" s="30">
        <v>19702</v>
      </c>
      <c r="G86" s="30"/>
      <c r="H86" s="3" t="s">
        <v>26</v>
      </c>
      <c r="I86" s="3" t="s">
        <v>71</v>
      </c>
      <c r="J86" s="27"/>
    </row>
    <row r="87" spans="1:10" hidden="1" x14ac:dyDescent="0.25">
      <c r="A87" s="32" t="s">
        <v>6</v>
      </c>
      <c r="B87" s="3" t="s">
        <v>69</v>
      </c>
      <c r="C87" s="3" t="s">
        <v>57</v>
      </c>
      <c r="D87" s="3" t="s">
        <v>60</v>
      </c>
      <c r="E87" s="4">
        <v>860</v>
      </c>
      <c r="F87" s="4">
        <v>860</v>
      </c>
      <c r="G87" s="4"/>
      <c r="H87" s="3" t="s">
        <v>26</v>
      </c>
      <c r="I87" s="3" t="s">
        <v>85</v>
      </c>
      <c r="J87" s="27"/>
    </row>
    <row r="88" spans="1:10" hidden="1" x14ac:dyDescent="0.25">
      <c r="A88" s="32" t="s">
        <v>29</v>
      </c>
      <c r="B88" s="3" t="s">
        <v>70</v>
      </c>
      <c r="C88" s="3" t="s">
        <v>60</v>
      </c>
      <c r="D88" s="3" t="s">
        <v>61</v>
      </c>
      <c r="E88" s="4">
        <v>2270</v>
      </c>
      <c r="F88" s="4">
        <v>2270</v>
      </c>
      <c r="G88" s="4"/>
      <c r="H88" s="3" t="s">
        <v>26</v>
      </c>
      <c r="I88" s="3" t="s">
        <v>71</v>
      </c>
      <c r="J88" s="27"/>
    </row>
    <row r="89" spans="1:10" hidden="1" x14ac:dyDescent="0.25">
      <c r="A89" s="32" t="s">
        <v>10</v>
      </c>
      <c r="B89" s="3" t="s">
        <v>70</v>
      </c>
      <c r="C89" s="3" t="s">
        <v>60</v>
      </c>
      <c r="D89" s="3" t="s">
        <v>61</v>
      </c>
      <c r="E89" s="4">
        <v>140</v>
      </c>
      <c r="F89" s="4">
        <v>140</v>
      </c>
      <c r="G89" s="4"/>
      <c r="H89" s="3" t="s">
        <v>26</v>
      </c>
      <c r="I89" s="3" t="s">
        <v>71</v>
      </c>
      <c r="J89" s="27"/>
    </row>
    <row r="90" spans="1:10" hidden="1" x14ac:dyDescent="0.25">
      <c r="A90" s="32" t="s">
        <v>11</v>
      </c>
      <c r="B90" s="3" t="s">
        <v>70</v>
      </c>
      <c r="C90" s="3" t="s">
        <v>60</v>
      </c>
      <c r="D90" s="3" t="s">
        <v>61</v>
      </c>
      <c r="E90" s="4">
        <v>80</v>
      </c>
      <c r="F90" s="4">
        <v>80</v>
      </c>
      <c r="G90" s="4"/>
      <c r="H90" s="3" t="s">
        <v>26</v>
      </c>
      <c r="I90" s="3" t="s">
        <v>71</v>
      </c>
      <c r="J90" s="27"/>
    </row>
    <row r="91" spans="1:10" hidden="1" x14ac:dyDescent="0.25">
      <c r="A91" s="32" t="s">
        <v>30</v>
      </c>
      <c r="B91" s="3" t="s">
        <v>70</v>
      </c>
      <c r="C91" s="3" t="s">
        <v>60</v>
      </c>
      <c r="D91" s="3" t="s">
        <v>61</v>
      </c>
      <c r="E91" s="4">
        <v>480</v>
      </c>
      <c r="F91" s="4">
        <v>480</v>
      </c>
      <c r="G91" s="4"/>
      <c r="H91" s="3" t="s">
        <v>26</v>
      </c>
      <c r="I91" s="3" t="s">
        <v>71</v>
      </c>
      <c r="J91" s="27"/>
    </row>
    <row r="92" spans="1:10" hidden="1" x14ac:dyDescent="0.25">
      <c r="A92" s="32" t="s">
        <v>38</v>
      </c>
      <c r="B92" s="3" t="s">
        <v>70</v>
      </c>
      <c r="C92" s="3" t="s">
        <v>60</v>
      </c>
      <c r="D92" s="3" t="s">
        <v>61</v>
      </c>
      <c r="E92" s="4">
        <v>99850</v>
      </c>
      <c r="F92" s="4">
        <v>99850</v>
      </c>
      <c r="G92" s="4"/>
      <c r="H92" s="3" t="s">
        <v>26</v>
      </c>
      <c r="I92" s="3" t="s">
        <v>71</v>
      </c>
      <c r="J92" s="27"/>
    </row>
    <row r="93" spans="1:10" hidden="1" x14ac:dyDescent="0.25">
      <c r="A93" s="32" t="s">
        <v>41</v>
      </c>
      <c r="B93" s="3" t="s">
        <v>70</v>
      </c>
      <c r="C93" s="3" t="s">
        <v>61</v>
      </c>
      <c r="D93" s="3" t="s">
        <v>65</v>
      </c>
      <c r="E93" s="4">
        <v>500</v>
      </c>
      <c r="F93" s="4">
        <v>500</v>
      </c>
      <c r="G93" s="4"/>
      <c r="H93" s="3" t="s">
        <v>26</v>
      </c>
      <c r="I93" s="3" t="s">
        <v>71</v>
      </c>
      <c r="J93" s="27"/>
    </row>
    <row r="94" spans="1:10" hidden="1" x14ac:dyDescent="0.25">
      <c r="A94" s="32" t="s">
        <v>42</v>
      </c>
      <c r="B94" s="3" t="s">
        <v>70</v>
      </c>
      <c r="C94" s="3" t="s">
        <v>61</v>
      </c>
      <c r="D94" s="3" t="s">
        <v>65</v>
      </c>
      <c r="E94" s="4">
        <v>220</v>
      </c>
      <c r="F94" s="4">
        <v>220</v>
      </c>
      <c r="G94" s="4"/>
      <c r="H94" s="3" t="s">
        <v>26</v>
      </c>
      <c r="I94" s="3" t="s">
        <v>71</v>
      </c>
      <c r="J94" s="27"/>
    </row>
    <row r="95" spans="1:10" hidden="1" x14ac:dyDescent="0.25">
      <c r="A95" s="32" t="s">
        <v>17</v>
      </c>
      <c r="B95" s="3" t="s">
        <v>70</v>
      </c>
      <c r="C95" s="3" t="s">
        <v>61</v>
      </c>
      <c r="D95" s="3" t="s">
        <v>65</v>
      </c>
      <c r="E95" s="4">
        <v>30</v>
      </c>
      <c r="F95" s="4">
        <v>30</v>
      </c>
      <c r="G95" s="4"/>
      <c r="H95" s="3" t="s">
        <v>26</v>
      </c>
      <c r="I95" s="3" t="s">
        <v>71</v>
      </c>
      <c r="J95" s="27"/>
    </row>
    <row r="96" spans="1:10" hidden="1" x14ac:dyDescent="0.25">
      <c r="A96" s="32" t="s">
        <v>15</v>
      </c>
      <c r="B96" s="3" t="s">
        <v>70</v>
      </c>
      <c r="C96" s="3" t="s">
        <v>61</v>
      </c>
      <c r="D96" s="3" t="s">
        <v>65</v>
      </c>
      <c r="E96" s="4">
        <v>1770</v>
      </c>
      <c r="F96" s="4">
        <v>1770</v>
      </c>
      <c r="G96" s="4"/>
      <c r="H96" s="3" t="s">
        <v>26</v>
      </c>
      <c r="I96" s="3" t="s">
        <v>71</v>
      </c>
      <c r="J96" s="27"/>
    </row>
    <row r="97" spans="1:10" hidden="1" x14ac:dyDescent="0.25">
      <c r="A97" s="32" t="s">
        <v>2</v>
      </c>
      <c r="B97" s="3" t="s">
        <v>70</v>
      </c>
      <c r="C97" s="3" t="s">
        <v>61</v>
      </c>
      <c r="D97" s="3" t="s">
        <v>65</v>
      </c>
      <c r="E97" s="4">
        <v>1045</v>
      </c>
      <c r="F97" s="4">
        <v>1045</v>
      </c>
      <c r="G97" s="4"/>
      <c r="H97" s="3" t="s">
        <v>26</v>
      </c>
      <c r="I97" s="3" t="s">
        <v>85</v>
      </c>
      <c r="J97" s="27"/>
    </row>
    <row r="98" spans="1:10" hidden="1" x14ac:dyDescent="0.25">
      <c r="A98" s="32" t="s">
        <v>36</v>
      </c>
      <c r="B98" s="3" t="s">
        <v>73</v>
      </c>
      <c r="C98" s="3" t="s">
        <v>65</v>
      </c>
      <c r="D98" s="3" t="s">
        <v>72</v>
      </c>
      <c r="E98" s="4">
        <v>160</v>
      </c>
      <c r="F98" s="4">
        <v>160</v>
      </c>
      <c r="G98" s="4"/>
      <c r="H98" s="3" t="s">
        <v>26</v>
      </c>
      <c r="I98" s="3" t="s">
        <v>71</v>
      </c>
      <c r="J98" s="27"/>
    </row>
    <row r="99" spans="1:10" hidden="1" x14ac:dyDescent="0.25">
      <c r="A99" s="32" t="s">
        <v>19</v>
      </c>
      <c r="B99" s="3" t="s">
        <v>74</v>
      </c>
      <c r="C99" s="3" t="s">
        <v>65</v>
      </c>
      <c r="D99" s="3" t="s">
        <v>72</v>
      </c>
      <c r="E99" s="4">
        <v>40</v>
      </c>
      <c r="F99" s="4">
        <v>40</v>
      </c>
      <c r="G99" s="4"/>
      <c r="H99" s="3" t="s">
        <v>26</v>
      </c>
      <c r="I99" s="3" t="s">
        <v>71</v>
      </c>
      <c r="J99" s="27"/>
    </row>
    <row r="100" spans="1:10" hidden="1" x14ac:dyDescent="0.25">
      <c r="A100" s="32" t="s">
        <v>35</v>
      </c>
      <c r="B100" s="3" t="s">
        <v>75</v>
      </c>
      <c r="C100" s="3" t="s">
        <v>65</v>
      </c>
      <c r="D100" s="3" t="s">
        <v>72</v>
      </c>
      <c r="E100" s="4">
        <v>40</v>
      </c>
      <c r="F100" s="4">
        <v>40</v>
      </c>
      <c r="G100" s="4"/>
      <c r="H100" s="3" t="s">
        <v>26</v>
      </c>
      <c r="I100" s="3" t="s">
        <v>71</v>
      </c>
      <c r="J100" s="27"/>
    </row>
    <row r="101" spans="1:10" hidden="1" x14ac:dyDescent="0.25">
      <c r="A101" s="32" t="s">
        <v>21</v>
      </c>
      <c r="B101" s="3" t="s">
        <v>74</v>
      </c>
      <c r="C101" s="3" t="s">
        <v>65</v>
      </c>
      <c r="D101" s="3" t="s">
        <v>72</v>
      </c>
      <c r="E101" s="4">
        <v>20</v>
      </c>
      <c r="F101" s="4">
        <v>20</v>
      </c>
      <c r="G101" s="4"/>
      <c r="H101" s="3" t="s">
        <v>26</v>
      </c>
      <c r="I101" s="3" t="s">
        <v>71</v>
      </c>
      <c r="J101" s="27"/>
    </row>
    <row r="102" spans="1:10" hidden="1" x14ac:dyDescent="0.25">
      <c r="A102" s="32" t="s">
        <v>38</v>
      </c>
      <c r="B102" s="3" t="s">
        <v>77</v>
      </c>
      <c r="C102" s="3" t="s">
        <v>72</v>
      </c>
      <c r="D102" s="3" t="s">
        <v>76</v>
      </c>
      <c r="E102" s="4">
        <v>10860</v>
      </c>
      <c r="F102" s="4">
        <v>10860</v>
      </c>
      <c r="G102" s="4"/>
      <c r="H102" s="3" t="s">
        <v>26</v>
      </c>
      <c r="I102" s="3" t="s">
        <v>71</v>
      </c>
      <c r="J102" s="27"/>
    </row>
    <row r="103" spans="1:10" hidden="1" x14ac:dyDescent="0.25">
      <c r="A103" s="32" t="s">
        <v>12</v>
      </c>
      <c r="B103" s="3" t="s">
        <v>78</v>
      </c>
      <c r="C103" s="3" t="s">
        <v>72</v>
      </c>
      <c r="D103" s="3" t="s">
        <v>76</v>
      </c>
      <c r="E103" s="4">
        <v>2311</v>
      </c>
      <c r="F103" s="4">
        <v>2311</v>
      </c>
      <c r="G103" s="4"/>
      <c r="H103" s="3" t="s">
        <v>26</v>
      </c>
      <c r="I103" s="3" t="s">
        <v>71</v>
      </c>
      <c r="J103" s="27"/>
    </row>
    <row r="104" spans="1:10" hidden="1" x14ac:dyDescent="0.25">
      <c r="A104" s="32" t="s">
        <v>2</v>
      </c>
      <c r="B104" s="3" t="s">
        <v>77</v>
      </c>
      <c r="C104" s="3" t="s">
        <v>72</v>
      </c>
      <c r="D104" s="3" t="s">
        <v>76</v>
      </c>
      <c r="E104" s="4">
        <v>1350</v>
      </c>
      <c r="F104" s="4">
        <v>1350</v>
      </c>
      <c r="G104" s="4"/>
      <c r="H104" s="3" t="s">
        <v>26</v>
      </c>
      <c r="I104" s="3" t="s">
        <v>85</v>
      </c>
      <c r="J104" s="27"/>
    </row>
    <row r="105" spans="1:10" hidden="1" x14ac:dyDescent="0.25">
      <c r="A105" s="32" t="s">
        <v>7</v>
      </c>
      <c r="B105" s="3" t="s">
        <v>78</v>
      </c>
      <c r="C105" s="3" t="s">
        <v>72</v>
      </c>
      <c r="D105" s="3" t="s">
        <v>76</v>
      </c>
      <c r="E105" s="4">
        <v>70</v>
      </c>
      <c r="F105" s="4">
        <v>70</v>
      </c>
      <c r="G105" s="4"/>
      <c r="H105" s="3" t="s">
        <v>26</v>
      </c>
      <c r="I105" s="3" t="s">
        <v>85</v>
      </c>
      <c r="J105" s="27"/>
    </row>
    <row r="106" spans="1:10" hidden="1" x14ac:dyDescent="0.25">
      <c r="A106" s="32" t="s">
        <v>6</v>
      </c>
      <c r="B106" s="3" t="s">
        <v>73</v>
      </c>
      <c r="C106" s="3" t="s">
        <v>72</v>
      </c>
      <c r="D106" s="3" t="s">
        <v>76</v>
      </c>
      <c r="E106" s="4">
        <v>450</v>
      </c>
      <c r="F106" s="4">
        <v>450</v>
      </c>
      <c r="G106" s="4"/>
      <c r="H106" s="3" t="s">
        <v>26</v>
      </c>
      <c r="I106" s="3" t="s">
        <v>85</v>
      </c>
      <c r="J106" s="27"/>
    </row>
    <row r="107" spans="1:10" hidden="1" x14ac:dyDescent="0.25">
      <c r="A107" s="32" t="s">
        <v>15</v>
      </c>
      <c r="B107" s="3" t="s">
        <v>77</v>
      </c>
      <c r="C107" s="3" t="s">
        <v>72</v>
      </c>
      <c r="D107" s="3" t="s">
        <v>76</v>
      </c>
      <c r="E107" s="4">
        <v>855</v>
      </c>
      <c r="F107" s="4">
        <v>855</v>
      </c>
      <c r="G107" s="4"/>
      <c r="H107" s="3" t="s">
        <v>26</v>
      </c>
      <c r="I107" s="3" t="s">
        <v>71</v>
      </c>
      <c r="J107" s="27"/>
    </row>
    <row r="108" spans="1:10" hidden="1" x14ac:dyDescent="0.25">
      <c r="A108" s="32" t="s">
        <v>16</v>
      </c>
      <c r="B108" s="3" t="s">
        <v>73</v>
      </c>
      <c r="C108" s="3" t="s">
        <v>72</v>
      </c>
      <c r="D108" s="3" t="s">
        <v>76</v>
      </c>
      <c r="E108" s="4">
        <v>470</v>
      </c>
      <c r="F108" s="4">
        <v>470</v>
      </c>
      <c r="G108" s="4"/>
      <c r="H108" s="3" t="s">
        <v>26</v>
      </c>
      <c r="I108" s="3" t="s">
        <v>71</v>
      </c>
      <c r="J108" s="27"/>
    </row>
    <row r="109" spans="1:10" hidden="1" x14ac:dyDescent="0.25">
      <c r="A109" s="32" t="s">
        <v>8</v>
      </c>
      <c r="B109" s="3" t="s">
        <v>78</v>
      </c>
      <c r="C109" s="3" t="s">
        <v>72</v>
      </c>
      <c r="D109" s="3" t="s">
        <v>76</v>
      </c>
      <c r="E109" s="4">
        <v>3988</v>
      </c>
      <c r="F109" s="4">
        <v>3988</v>
      </c>
      <c r="G109" s="4"/>
      <c r="H109" s="3" t="s">
        <v>26</v>
      </c>
      <c r="I109" s="3" t="s">
        <v>71</v>
      </c>
      <c r="J109" s="27"/>
    </row>
    <row r="110" spans="1:10" hidden="1" x14ac:dyDescent="0.25">
      <c r="A110" s="32" t="s">
        <v>50</v>
      </c>
      <c r="B110" s="3" t="s">
        <v>78</v>
      </c>
      <c r="C110" s="3" t="s">
        <v>72</v>
      </c>
      <c r="D110" s="3" t="s">
        <v>76</v>
      </c>
      <c r="E110" s="4">
        <v>6645</v>
      </c>
      <c r="F110" s="4">
        <v>6645</v>
      </c>
      <c r="G110" s="4"/>
      <c r="H110" s="3" t="s">
        <v>26</v>
      </c>
      <c r="I110" s="3" t="s">
        <v>71</v>
      </c>
      <c r="J110" s="27"/>
    </row>
    <row r="111" spans="1:10" hidden="1" x14ac:dyDescent="0.25">
      <c r="A111" s="32" t="s">
        <v>36</v>
      </c>
      <c r="B111" s="3" t="s">
        <v>73</v>
      </c>
      <c r="C111" s="3" t="s">
        <v>76</v>
      </c>
      <c r="D111" s="3" t="s">
        <v>80</v>
      </c>
      <c r="E111" s="4">
        <v>110</v>
      </c>
      <c r="F111" s="4">
        <v>110</v>
      </c>
      <c r="G111" s="4"/>
      <c r="H111" s="3" t="s">
        <v>26</v>
      </c>
      <c r="I111" s="44" t="s">
        <v>85</v>
      </c>
      <c r="J111" s="49" t="s">
        <v>92</v>
      </c>
    </row>
    <row r="112" spans="1:10" hidden="1" x14ac:dyDescent="0.25">
      <c r="A112" s="32" t="s">
        <v>29</v>
      </c>
      <c r="B112" s="3" t="s">
        <v>81</v>
      </c>
      <c r="C112" s="3" t="s">
        <v>76</v>
      </c>
      <c r="D112" s="3" t="s">
        <v>80</v>
      </c>
      <c r="E112" s="4">
        <v>805</v>
      </c>
      <c r="F112" s="4">
        <v>805</v>
      </c>
      <c r="G112" s="4"/>
      <c r="H112" s="3" t="s">
        <v>26</v>
      </c>
      <c r="I112" s="3" t="s">
        <v>85</v>
      </c>
      <c r="J112" s="27" t="s">
        <v>92</v>
      </c>
    </row>
    <row r="113" spans="1:10" hidden="1" x14ac:dyDescent="0.25">
      <c r="A113" s="32" t="s">
        <v>30</v>
      </c>
      <c r="B113" s="3" t="s">
        <v>81</v>
      </c>
      <c r="C113" s="3" t="s">
        <v>76</v>
      </c>
      <c r="D113" s="3" t="s">
        <v>80</v>
      </c>
      <c r="E113" s="4">
        <v>170</v>
      </c>
      <c r="F113" s="4">
        <v>170</v>
      </c>
      <c r="G113" s="4"/>
      <c r="H113" s="3" t="s">
        <v>26</v>
      </c>
      <c r="I113" s="44" t="s">
        <v>71</v>
      </c>
      <c r="J113" s="49" t="s">
        <v>71</v>
      </c>
    </row>
    <row r="114" spans="1:10" hidden="1" x14ac:dyDescent="0.25">
      <c r="A114" s="32" t="s">
        <v>16</v>
      </c>
      <c r="B114" s="3" t="s">
        <v>73</v>
      </c>
      <c r="C114" s="3" t="s">
        <v>80</v>
      </c>
      <c r="D114" s="3" t="s">
        <v>82</v>
      </c>
      <c r="E114" s="4">
        <v>260</v>
      </c>
      <c r="F114" s="4">
        <v>260</v>
      </c>
      <c r="G114" s="4"/>
      <c r="H114" s="3" t="s">
        <v>26</v>
      </c>
      <c r="I114" s="44" t="s">
        <v>85</v>
      </c>
      <c r="J114" s="44" t="s">
        <v>84</v>
      </c>
    </row>
    <row r="115" spans="1:10" hidden="1" x14ac:dyDescent="0.25">
      <c r="A115" s="32" t="s">
        <v>12</v>
      </c>
      <c r="B115" s="3" t="s">
        <v>78</v>
      </c>
      <c r="C115" s="3" t="s">
        <v>80</v>
      </c>
      <c r="D115" s="3" t="s">
        <v>82</v>
      </c>
      <c r="E115" s="4">
        <v>1620</v>
      </c>
      <c r="F115" s="4">
        <v>1620</v>
      </c>
      <c r="G115" s="4"/>
      <c r="H115" s="3" t="s">
        <v>26</v>
      </c>
      <c r="I115" s="44" t="s">
        <v>85</v>
      </c>
      <c r="J115" s="44" t="s">
        <v>84</v>
      </c>
    </row>
    <row r="116" spans="1:10" hidden="1" x14ac:dyDescent="0.25">
      <c r="A116" s="32" t="s">
        <v>38</v>
      </c>
      <c r="B116" s="3" t="s">
        <v>77</v>
      </c>
      <c r="C116" s="3" t="s">
        <v>80</v>
      </c>
      <c r="D116" s="3" t="s">
        <v>82</v>
      </c>
      <c r="E116" s="4">
        <v>660</v>
      </c>
      <c r="F116" s="4">
        <v>660</v>
      </c>
      <c r="G116" s="4"/>
      <c r="H116" s="3" t="s">
        <v>26</v>
      </c>
      <c r="I116" s="44" t="s">
        <v>85</v>
      </c>
      <c r="J116" s="44" t="s">
        <v>84</v>
      </c>
    </row>
    <row r="117" spans="1:10" hidden="1" x14ac:dyDescent="0.25">
      <c r="A117" s="32" t="s">
        <v>35</v>
      </c>
      <c r="B117" s="3" t="s">
        <v>75</v>
      </c>
      <c r="C117" s="3" t="s">
        <v>80</v>
      </c>
      <c r="D117" s="3" t="s">
        <v>82</v>
      </c>
      <c r="E117" s="4">
        <v>20</v>
      </c>
      <c r="F117" s="4">
        <v>20</v>
      </c>
      <c r="G117" s="4"/>
      <c r="H117" s="3" t="s">
        <v>26</v>
      </c>
      <c r="I117" s="44" t="s">
        <v>85</v>
      </c>
      <c r="J117" s="44" t="s">
        <v>84</v>
      </c>
    </row>
    <row r="118" spans="1:10" hidden="1" x14ac:dyDescent="0.25">
      <c r="A118" s="32" t="s">
        <v>15</v>
      </c>
      <c r="B118" s="3" t="s">
        <v>77</v>
      </c>
      <c r="C118" s="3" t="s">
        <v>80</v>
      </c>
      <c r="D118" s="3" t="s">
        <v>82</v>
      </c>
      <c r="E118" s="4">
        <v>6605</v>
      </c>
      <c r="F118" s="4">
        <v>6605</v>
      </c>
      <c r="G118" s="4"/>
      <c r="H118" s="3" t="s">
        <v>26</v>
      </c>
      <c r="I118" s="44" t="s">
        <v>71</v>
      </c>
      <c r="J118" s="44" t="s">
        <v>71</v>
      </c>
    </row>
    <row r="119" spans="1:10" hidden="1" x14ac:dyDescent="0.25">
      <c r="A119" s="32" t="s">
        <v>11</v>
      </c>
      <c r="B119" s="3" t="s">
        <v>70</v>
      </c>
      <c r="C119" s="3" t="s">
        <v>80</v>
      </c>
      <c r="D119" s="3" t="s">
        <v>82</v>
      </c>
      <c r="E119" s="4">
        <v>2105</v>
      </c>
      <c r="F119" s="4">
        <v>2105</v>
      </c>
      <c r="G119" s="4"/>
      <c r="H119" s="3" t="s">
        <v>26</v>
      </c>
      <c r="I119" s="44" t="s">
        <v>85</v>
      </c>
      <c r="J119" s="48" t="s">
        <v>90</v>
      </c>
    </row>
    <row r="120" spans="1:10" hidden="1" x14ac:dyDescent="0.25">
      <c r="A120" s="32" t="s">
        <v>14</v>
      </c>
      <c r="B120" s="3" t="s">
        <v>70</v>
      </c>
      <c r="C120" s="3" t="s">
        <v>80</v>
      </c>
      <c r="D120" s="3" t="s">
        <v>82</v>
      </c>
      <c r="E120" s="4">
        <v>800</v>
      </c>
      <c r="F120" s="4">
        <v>800</v>
      </c>
      <c r="G120" s="4"/>
      <c r="H120" s="3" t="s">
        <v>26</v>
      </c>
      <c r="I120" s="44" t="s">
        <v>85</v>
      </c>
      <c r="J120" s="44" t="s">
        <v>91</v>
      </c>
    </row>
    <row r="121" spans="1:10" hidden="1" x14ac:dyDescent="0.25">
      <c r="A121" s="32"/>
      <c r="B121" s="3"/>
      <c r="C121" s="3"/>
      <c r="D121" s="3"/>
      <c r="E121" s="5">
        <f>SUM(E2:E120)</f>
        <v>1300621</v>
      </c>
      <c r="F121" s="5"/>
      <c r="G121" s="5"/>
      <c r="H121" s="3"/>
      <c r="I121" s="27"/>
      <c r="J121" s="27"/>
    </row>
    <row r="123" spans="1:10" x14ac:dyDescent="0.25">
      <c r="A123" s="46" t="s">
        <v>87</v>
      </c>
      <c r="B123" s="47" t="s">
        <v>89</v>
      </c>
    </row>
    <row r="124" spans="1:10" x14ac:dyDescent="0.25">
      <c r="A124" s="6" t="s">
        <v>71</v>
      </c>
      <c r="B124" s="47">
        <v>1268581</v>
      </c>
    </row>
    <row r="125" spans="1:10" x14ac:dyDescent="0.25">
      <c r="A125" s="6" t="s">
        <v>85</v>
      </c>
      <c r="B125" s="47">
        <v>33705</v>
      </c>
    </row>
    <row r="126" spans="1:10" x14ac:dyDescent="0.25">
      <c r="A126" s="6" t="s">
        <v>88</v>
      </c>
      <c r="B126" s="47">
        <v>1302286</v>
      </c>
    </row>
    <row r="127" spans="1:10" x14ac:dyDescent="0.25">
      <c r="A127"/>
    </row>
    <row r="128" spans="1:10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</sheetData>
  <autoFilter ref="A1:J121" xr:uid="{00000000-0001-0000-0100-000000000000}">
    <filterColumn colId="2">
      <filters>
        <filter val="Q1 2023"/>
      </filters>
    </filterColumn>
  </autoFilter>
  <pageMargins left="0.70866141732283472" right="0.70866141732283472" top="0.74803149606299213" bottom="0.74803149606299213" header="0.31496062992125984" footer="0.31496062992125984"/>
  <pageSetup paperSize="9" scale="80" orientation="portrait" r:id="rId2"/>
  <customProperties>
    <customPr name="QAA_DRILLPATH_NODE_ID" r:id="rId3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workbookViewId="0">
      <selection activeCell="E13" sqref="E13"/>
    </sheetView>
  </sheetViews>
  <sheetFormatPr defaultColWidth="8.5703125" defaultRowHeight="15" x14ac:dyDescent="0.25"/>
  <cols>
    <col min="1" max="1" width="17.5703125" style="20" bestFit="1" customWidth="1"/>
    <col min="2" max="2" width="21.42578125" style="20" bestFit="1" customWidth="1"/>
    <col min="3" max="3" width="17.5703125" style="20" bestFit="1" customWidth="1"/>
    <col min="4" max="4" width="31.85546875" style="24" bestFit="1" customWidth="1"/>
    <col min="5" max="5" width="47.5703125" style="20" bestFit="1" customWidth="1"/>
    <col min="6" max="6" width="8.5703125" style="20"/>
    <col min="7" max="7" width="11.42578125" style="20" bestFit="1" customWidth="1"/>
    <col min="8" max="8" width="14.42578125" style="20" bestFit="1" customWidth="1"/>
    <col min="9" max="9" width="8.5703125" style="20"/>
    <col min="10" max="10" width="14.42578125" style="20" bestFit="1" customWidth="1"/>
    <col min="11" max="16384" width="8.5703125" style="20"/>
  </cols>
  <sheetData>
    <row r="1" spans="1:10" s="17" customFormat="1" x14ac:dyDescent="0.25">
      <c r="A1" s="15" t="s">
        <v>0</v>
      </c>
      <c r="B1" s="15" t="s">
        <v>1</v>
      </c>
      <c r="C1" s="15" t="s">
        <v>3</v>
      </c>
      <c r="D1" s="16" t="s">
        <v>31</v>
      </c>
      <c r="E1" s="15" t="s">
        <v>45</v>
      </c>
    </row>
    <row r="2" spans="1:10" x14ac:dyDescent="0.25">
      <c r="A2" s="18" t="s">
        <v>50</v>
      </c>
      <c r="B2" s="18" t="s">
        <v>54</v>
      </c>
      <c r="C2" s="18" t="s">
        <v>56</v>
      </c>
      <c r="D2" s="35">
        <v>1279525</v>
      </c>
      <c r="E2" s="18" t="s">
        <v>44</v>
      </c>
    </row>
    <row r="3" spans="1:10" x14ac:dyDescent="0.25">
      <c r="A3" s="18" t="s">
        <v>50</v>
      </c>
      <c r="B3" s="18" t="s">
        <v>56</v>
      </c>
      <c r="C3" s="18" t="s">
        <v>57</v>
      </c>
      <c r="D3" s="42">
        <v>7577107</v>
      </c>
      <c r="E3" s="18" t="s">
        <v>44</v>
      </c>
    </row>
    <row r="4" spans="1:10" x14ac:dyDescent="0.25">
      <c r="A4" s="18" t="s">
        <v>38</v>
      </c>
      <c r="B4" s="18" t="s">
        <v>59</v>
      </c>
      <c r="C4" s="18" t="s">
        <v>57</v>
      </c>
      <c r="D4" s="42">
        <v>18330</v>
      </c>
      <c r="E4" s="18" t="s">
        <v>44</v>
      </c>
    </row>
    <row r="5" spans="1:10" x14ac:dyDescent="0.25">
      <c r="A5" s="18" t="s">
        <v>50</v>
      </c>
      <c r="B5" s="18" t="s">
        <v>57</v>
      </c>
      <c r="C5" s="18" t="s">
        <v>60</v>
      </c>
      <c r="D5" s="35">
        <v>3668061</v>
      </c>
      <c r="E5" s="18" t="s">
        <v>44</v>
      </c>
      <c r="G5" s="21"/>
    </row>
    <row r="6" spans="1:10" x14ac:dyDescent="0.25">
      <c r="A6" s="18"/>
      <c r="B6" s="18"/>
      <c r="C6" s="18" t="s">
        <v>63</v>
      </c>
      <c r="D6" s="35">
        <f>-7494976-2133730-1074580</f>
        <v>-10703286</v>
      </c>
      <c r="E6" s="18" t="s">
        <v>63</v>
      </c>
      <c r="G6" s="21"/>
    </row>
    <row r="7" spans="1:10" x14ac:dyDescent="0.25">
      <c r="A7" s="18" t="s">
        <v>38</v>
      </c>
      <c r="B7" s="18" t="s">
        <v>62</v>
      </c>
      <c r="C7" s="18" t="s">
        <v>61</v>
      </c>
      <c r="D7" s="36">
        <v>552600</v>
      </c>
      <c r="E7" s="18" t="s">
        <v>44</v>
      </c>
      <c r="G7" s="21"/>
    </row>
    <row r="8" spans="1:10" x14ac:dyDescent="0.25">
      <c r="A8" s="18" t="s">
        <v>50</v>
      </c>
      <c r="B8" s="18" t="s">
        <v>61</v>
      </c>
      <c r="C8" s="18" t="s">
        <v>65</v>
      </c>
      <c r="D8" s="36">
        <v>533666</v>
      </c>
      <c r="E8" s="18" t="s">
        <v>44</v>
      </c>
      <c r="G8" s="21"/>
      <c r="H8" s="34"/>
    </row>
    <row r="9" spans="1:10" x14ac:dyDescent="0.25">
      <c r="A9" s="18" t="s">
        <v>8</v>
      </c>
      <c r="B9" s="18" t="s">
        <v>61</v>
      </c>
      <c r="C9" s="18" t="s">
        <v>65</v>
      </c>
      <c r="D9" s="36">
        <v>109885</v>
      </c>
      <c r="E9" s="18" t="s">
        <v>44</v>
      </c>
      <c r="G9" s="21"/>
      <c r="H9" s="34"/>
      <c r="J9" s="33"/>
    </row>
    <row r="10" spans="1:10" x14ac:dyDescent="0.25">
      <c r="A10" s="18" t="s">
        <v>38</v>
      </c>
      <c r="B10" s="18" t="s">
        <v>72</v>
      </c>
      <c r="C10" s="18" t="s">
        <v>76</v>
      </c>
      <c r="D10" s="36">
        <v>801895</v>
      </c>
      <c r="E10" s="18" t="s">
        <v>44</v>
      </c>
      <c r="G10" s="21"/>
      <c r="H10" s="34"/>
      <c r="J10" s="33"/>
    </row>
    <row r="11" spans="1:10" x14ac:dyDescent="0.25">
      <c r="A11" s="18" t="s">
        <v>50</v>
      </c>
      <c r="B11" s="18" t="s">
        <v>72</v>
      </c>
      <c r="C11" s="18" t="s">
        <v>76</v>
      </c>
      <c r="D11" s="36">
        <v>1495585</v>
      </c>
      <c r="E11" s="18" t="s">
        <v>44</v>
      </c>
      <c r="G11" s="21"/>
      <c r="H11" s="34"/>
      <c r="J11" s="33"/>
    </row>
    <row r="12" spans="1:10" x14ac:dyDescent="0.25">
      <c r="A12" s="18"/>
      <c r="B12" s="18"/>
      <c r="C12" s="18" t="s">
        <v>79</v>
      </c>
      <c r="D12" s="35">
        <v>-4609008</v>
      </c>
      <c r="E12" s="18" t="s">
        <v>79</v>
      </c>
      <c r="G12" s="21"/>
    </row>
    <row r="13" spans="1:10" x14ac:dyDescent="0.25">
      <c r="A13" s="18"/>
      <c r="B13" s="18"/>
      <c r="C13" s="18" t="s">
        <v>83</v>
      </c>
      <c r="D13" s="35">
        <v>-605900</v>
      </c>
      <c r="E13" s="18" t="s">
        <v>83</v>
      </c>
      <c r="G13" s="21"/>
    </row>
    <row r="14" spans="1:10" x14ac:dyDescent="0.25">
      <c r="A14" s="18" t="s">
        <v>50</v>
      </c>
      <c r="B14" s="18" t="s">
        <v>80</v>
      </c>
      <c r="C14" s="18" t="s">
        <v>82</v>
      </c>
      <c r="D14" s="36">
        <v>9385249</v>
      </c>
      <c r="E14" s="18" t="s">
        <v>44</v>
      </c>
      <c r="G14" s="21"/>
      <c r="H14" s="34"/>
      <c r="J14" s="33"/>
    </row>
    <row r="15" spans="1:10" x14ac:dyDescent="0.25">
      <c r="A15" s="18"/>
      <c r="B15" s="18"/>
      <c r="C15" s="18" t="s">
        <v>79</v>
      </c>
      <c r="D15" s="35">
        <v>-7240172</v>
      </c>
      <c r="E15" s="18" t="s">
        <v>79</v>
      </c>
      <c r="G15" s="21"/>
    </row>
    <row r="16" spans="1:10" x14ac:dyDescent="0.25">
      <c r="A16" s="23"/>
      <c r="B16" s="23"/>
      <c r="C16" s="23"/>
      <c r="D16" s="43">
        <f>SUM(D2:D15)</f>
        <v>2263537</v>
      </c>
      <c r="E16" s="23"/>
      <c r="G16" s="33"/>
    </row>
    <row r="17" spans="4:10" x14ac:dyDescent="0.25">
      <c r="D17" s="37"/>
      <c r="H17" s="34"/>
    </row>
    <row r="18" spans="4:10" x14ac:dyDescent="0.25">
      <c r="D18" s="37"/>
    </row>
    <row r="19" spans="4:10" x14ac:dyDescent="0.25">
      <c r="D19" s="37"/>
    </row>
    <row r="20" spans="4:10" x14ac:dyDescent="0.25">
      <c r="D20" s="37"/>
      <c r="J20" s="33"/>
    </row>
    <row r="21" spans="4:10" x14ac:dyDescent="0.25">
      <c r="D21" s="37"/>
      <c r="J21" s="33"/>
    </row>
    <row r="22" spans="4:10" x14ac:dyDescent="0.25">
      <c r="D22" s="37"/>
    </row>
  </sheetData>
  <autoFilter ref="A1:E1" xr:uid="{00000000-0009-0000-0000-000002000000}"/>
  <pageMargins left="0.70866141732283472" right="0.70866141732283472" top="0.74803149606299213" bottom="0.74803149606299213" header="0.31496062992125984" footer="0.31496062992125984"/>
  <pageSetup paperSize="9" scale="70" orientation="portrait" r:id="rId1"/>
  <customProperties>
    <customPr name="QAA_DRILLPATH_NODE_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workbookViewId="0">
      <selection activeCell="F14" sqref="F14"/>
    </sheetView>
  </sheetViews>
  <sheetFormatPr defaultColWidth="8.5703125" defaultRowHeight="15" x14ac:dyDescent="0.25"/>
  <cols>
    <col min="1" max="1" width="17.5703125" style="20" bestFit="1" customWidth="1"/>
    <col min="2" max="2" width="21.42578125" style="20" bestFit="1" customWidth="1"/>
    <col min="3" max="3" width="18.85546875" style="20" bestFit="1" customWidth="1"/>
    <col min="4" max="4" width="31.85546875" style="24" bestFit="1" customWidth="1"/>
    <col min="5" max="5" width="31.85546875" style="24" customWidth="1"/>
    <col min="6" max="6" width="47.5703125" style="20" bestFit="1" customWidth="1"/>
    <col min="7" max="7" width="8.5703125" style="20"/>
    <col min="8" max="8" width="11.42578125" style="20" bestFit="1" customWidth="1"/>
    <col min="9" max="16384" width="8.5703125" style="20"/>
  </cols>
  <sheetData>
    <row r="1" spans="1:8" s="17" customFormat="1" x14ac:dyDescent="0.25">
      <c r="A1" s="15" t="s">
        <v>0</v>
      </c>
      <c r="B1" s="15" t="s">
        <v>1</v>
      </c>
      <c r="C1" s="15" t="s">
        <v>3</v>
      </c>
      <c r="D1" s="16" t="s">
        <v>31</v>
      </c>
      <c r="E1" s="16"/>
      <c r="F1" s="15" t="s">
        <v>45</v>
      </c>
    </row>
    <row r="2" spans="1:8" x14ac:dyDescent="0.25">
      <c r="A2" s="18" t="s">
        <v>50</v>
      </c>
      <c r="B2" s="18" t="s">
        <v>54</v>
      </c>
      <c r="C2" s="18" t="s">
        <v>56</v>
      </c>
      <c r="D2" s="19">
        <v>1279525</v>
      </c>
      <c r="E2" s="19"/>
      <c r="F2" s="18" t="s">
        <v>44</v>
      </c>
    </row>
    <row r="3" spans="1:8" x14ac:dyDescent="0.25">
      <c r="A3" s="18" t="s">
        <v>50</v>
      </c>
      <c r="B3" s="18" t="s">
        <v>56</v>
      </c>
      <c r="C3" s="18" t="s">
        <v>57</v>
      </c>
      <c r="D3" s="21">
        <v>7577107</v>
      </c>
      <c r="E3" s="21"/>
      <c r="F3" s="18" t="s">
        <v>44</v>
      </c>
    </row>
    <row r="4" spans="1:8" x14ac:dyDescent="0.25">
      <c r="A4" s="18" t="s">
        <v>38</v>
      </c>
      <c r="B4" s="18" t="s">
        <v>59</v>
      </c>
      <c r="C4" s="18" t="s">
        <v>57</v>
      </c>
      <c r="D4" s="19">
        <v>18330</v>
      </c>
      <c r="E4" s="19"/>
      <c r="F4" s="18" t="s">
        <v>44</v>
      </c>
    </row>
    <row r="5" spans="1:8" x14ac:dyDescent="0.25">
      <c r="A5" s="18" t="s">
        <v>50</v>
      </c>
      <c r="B5" s="18" t="s">
        <v>57</v>
      </c>
      <c r="C5" s="18" t="s">
        <v>60</v>
      </c>
      <c r="D5" s="19">
        <v>3668061</v>
      </c>
      <c r="E5" s="19"/>
      <c r="F5" s="18" t="s">
        <v>44</v>
      </c>
      <c r="H5" s="21"/>
    </row>
    <row r="6" spans="1:8" x14ac:dyDescent="0.25">
      <c r="A6" s="18"/>
      <c r="B6" s="18"/>
      <c r="C6" s="18" t="s">
        <v>63</v>
      </c>
      <c r="D6" s="19">
        <v>-7494976</v>
      </c>
      <c r="E6" s="19">
        <f>3184768+F14</f>
        <v>1922528</v>
      </c>
      <c r="F6" s="18" t="s">
        <v>64</v>
      </c>
      <c r="H6" s="21"/>
    </row>
    <row r="7" spans="1:8" x14ac:dyDescent="0.25">
      <c r="A7" s="18" t="s">
        <v>38</v>
      </c>
      <c r="B7" s="18" t="s">
        <v>62</v>
      </c>
      <c r="C7" s="18" t="s">
        <v>61</v>
      </c>
      <c r="D7" s="25">
        <v>552600</v>
      </c>
      <c r="E7" s="25">
        <v>552600</v>
      </c>
      <c r="F7" s="18" t="s">
        <v>44</v>
      </c>
      <c r="H7" s="21"/>
    </row>
    <row r="8" spans="1:8" x14ac:dyDescent="0.25">
      <c r="A8" s="18" t="s">
        <v>50</v>
      </c>
      <c r="B8" s="18" t="s">
        <v>61</v>
      </c>
      <c r="C8" s="18" t="s">
        <v>65</v>
      </c>
      <c r="D8" s="25">
        <v>533666</v>
      </c>
      <c r="E8" s="25">
        <v>95599</v>
      </c>
      <c r="F8" s="18" t="s">
        <v>44</v>
      </c>
      <c r="H8" s="21"/>
    </row>
    <row r="9" spans="1:8" x14ac:dyDescent="0.25">
      <c r="A9" s="18" t="s">
        <v>8</v>
      </c>
      <c r="B9" s="18" t="s">
        <v>61</v>
      </c>
      <c r="C9" s="18" t="s">
        <v>65</v>
      </c>
      <c r="D9" s="25">
        <v>109885</v>
      </c>
      <c r="E9" s="25">
        <v>7605</v>
      </c>
      <c r="F9" s="18" t="s">
        <v>44</v>
      </c>
      <c r="H9" s="21"/>
    </row>
    <row r="10" spans="1:8" x14ac:dyDescent="0.25">
      <c r="A10" s="18"/>
      <c r="B10" s="18"/>
      <c r="C10" s="18"/>
      <c r="D10" s="22">
        <f>SUM(D2:D9)</f>
        <v>6244198</v>
      </c>
      <c r="E10" s="22">
        <f>SUM(E2:E9)</f>
        <v>2578332</v>
      </c>
      <c r="F10" s="23"/>
    </row>
    <row r="14" spans="1:8" x14ac:dyDescent="0.25">
      <c r="F14" s="20">
        <v>-1262240</v>
      </c>
    </row>
  </sheetData>
  <autoFilter ref="A1:F1" xr:uid="{00000000-0009-0000-0000-000003000000}"/>
  <pageMargins left="0.70866141732283472" right="0.70866141732283472" top="0.74803149606299213" bottom="0.74803149606299213" header="0.31496062992125984" footer="0.31496062992125984"/>
  <pageSetup paperSize="9" scale="70" orientation="portrait" r:id="rId1"/>
  <customProperties>
    <customPr name="QAA_DRILLPATH_NODE_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WorkbookDrillPathInfo xmlns:xsi="http://www.w3.org/2001/XMLSchema-instance" xmlns:xsd="http://www.w3.org/2001/XMLSchema" xmlns="http://www.infor.com/qaa/DrillPath">
  <CurrentDrillPath>
    <DrillPathNode AnalysisType="NONE" Id="515ed8fd-72a8-42ff-87a8-083d9304df7f" Name="Summary">
      <Children/>
    </DrillPathNode>
    <DrillPathNode AnalysisType="NONE" Id="bfba356d-49f2-42cc-a3be-dfc32bfe72ba" Name="Recommended for Recovery" Source="">
      <Children/>
    </DrillPathNode>
    <DrillPathNode AnalysisType="NONE" Id="d2f072dd-78ec-42fb-aba1-be9b4e027263" Name="Recommended for Investigations" Source="">
      <Children/>
    </DrillPathNode>
  </CurrentDrillPath>
  <SavedDrillPath/>
</WorkbookDrillPathInfo>
</file>

<file path=customXml/itemProps1.xml><?xml version="1.0" encoding="utf-8"?>
<ds:datastoreItem xmlns:ds="http://schemas.openxmlformats.org/officeDocument/2006/customXml" ds:itemID="{BBA2705C-A904-4CD7-8727-6DF358672C99}">
  <ds:schemaRefs>
    <ds:schemaRef ds:uri="http://www.w3.org/2001/XMLSchema"/>
    <ds:schemaRef ds:uri="http://www.infor.com/qaa/DrillPath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Summary</vt:lpstr>
      <vt:lpstr>Recommended for Recovery</vt:lpstr>
      <vt:lpstr>Recommended for Investigations</vt:lpstr>
      <vt:lpstr>Recommended-Updates</vt:lpstr>
      <vt:lpstr>'Recommended for Investigations'!Print_Area</vt:lpstr>
      <vt:lpstr>'Recommended for Recovery'!Print_Area</vt:lpstr>
      <vt:lpstr>'Recommended-Updates'!Print_Area</vt:lpstr>
      <vt:lpstr>Summary!Print_Area</vt:lpstr>
      <vt:lpstr>'Recommended for Investigations'!Print_Titles</vt:lpstr>
      <vt:lpstr>'Recommended for Recovery'!Print_Titles</vt:lpstr>
      <vt:lpstr>'Recommended-Updates'!Print_Titles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Chomba</dc:creator>
  <cp:lastModifiedBy>Tinashe Shumba</cp:lastModifiedBy>
  <cp:lastPrinted>2022-11-01T09:48:50Z</cp:lastPrinted>
  <dcterms:created xsi:type="dcterms:W3CDTF">2022-02-24T07:27:32Z</dcterms:created>
  <dcterms:modified xsi:type="dcterms:W3CDTF">2025-08-13T12:45:05Z</dcterms:modified>
</cp:coreProperties>
</file>